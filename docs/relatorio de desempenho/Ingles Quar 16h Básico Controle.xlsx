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<sst xmlns="http://schemas.openxmlformats.org/spreadsheetml/2006/main" count="315" uniqueCount="53">
  <si>
    <t>TURMA: 21423 INGLÊS BÁSICO (16H ÀS 18H QUARTA-FEIRA)</t>
  </si>
  <si>
    <t>Aulas Dadas</t>
  </si>
  <si>
    <t>Aulas Assistidas</t>
  </si>
  <si>
    <t>Frequência Final</t>
  </si>
  <si>
    <t>DESEMPENHO 1 TRIMESTRE</t>
  </si>
  <si>
    <t>DESEMPENHO 2 TRIMESTRE</t>
  </si>
  <si>
    <t>DESEMPENHO 3 TRIMESTRE</t>
  </si>
  <si>
    <t>DESEMPENHO 4 TRIMESTRE</t>
  </si>
  <si>
    <t>N</t>
  </si>
  <si>
    <t>Aluno</t>
  </si>
  <si>
    <t>ID</t>
  </si>
  <si>
    <t>PERÍODO NA TURMA</t>
  </si>
  <si>
    <t xml:space="preserve">1 TRIMESTRE </t>
  </si>
  <si>
    <t xml:space="preserve">2 TRIMESTRE </t>
  </si>
  <si>
    <t xml:space="preserve">3 TRIMESTRE </t>
  </si>
  <si>
    <t xml:space="preserve">4 TRIMESTRE </t>
  </si>
  <si>
    <t>FREQUENCIA</t>
  </si>
  <si>
    <t>MÉDIA</t>
  </si>
  <si>
    <t>ATIVIDADES</t>
  </si>
  <si>
    <t>A.U</t>
  </si>
  <si>
    <t>NOTA FINAL</t>
  </si>
  <si>
    <t>INICIO</t>
  </si>
  <si>
    <t>FIM</t>
  </si>
  <si>
    <t>PRESENÇAS</t>
  </si>
  <si>
    <t>FALTAS</t>
  </si>
  <si>
    <t>1º MÊS</t>
  </si>
  <si>
    <t>2º MÊS</t>
  </si>
  <si>
    <t>3º MÊS</t>
  </si>
  <si>
    <t>ANA CLARA DO AMARANTE GUTERRES</t>
  </si>
  <si>
    <t>-</t>
  </si>
  <si>
    <t>ANNA BEATRIZ SCHULTE FERNANDES</t>
  </si>
  <si>
    <t>ANTONIO ABELARDO DOS SANTOS</t>
  </si>
  <si>
    <t>CAIO MARTINS COELHO</t>
  </si>
  <si>
    <t>CAMILA MARQUES FAGUNDES</t>
  </si>
  <si>
    <t>DANIEL HENRIQUE MOREIRA MARQUES</t>
  </si>
  <si>
    <t>EMILLY LUIZA MACEDO</t>
  </si>
  <si>
    <t>IGOR LUIS FERREIRA VENTURI</t>
  </si>
  <si>
    <t>ISABELY MORAIS NASCIMENTO</t>
  </si>
  <si>
    <t>JESSIKA LAIR GONÇALVES</t>
  </si>
  <si>
    <t>JOAO CASSIO VIEIRA DE MOURA</t>
  </si>
  <si>
    <t>JOAO VICTOR DE OLIVEIRA</t>
  </si>
  <si>
    <t>JOSIETE DE SANTANA</t>
  </si>
  <si>
    <t>LARISSA TURNES DA SILVA</t>
  </si>
  <si>
    <t xml:space="preserve">LUAN CESAR BATISTA </t>
  </si>
  <si>
    <t>LUAN FERREIRA GONÇALVES</t>
  </si>
  <si>
    <t>NICOLE BATISTA DE MATOS</t>
  </si>
  <si>
    <t>PAULA FERNANDA ALVES FRAGNANI</t>
  </si>
  <si>
    <t>PEDRO FRANCISCO VASSOLER</t>
  </si>
  <si>
    <t>YANDRA ROBERTA DOS SANTOS MACHADO</t>
  </si>
  <si>
    <t>YOHANNA DE SOUZA MARÇAL</t>
  </si>
  <si>
    <t>YSABELI CRISTINA ALVES</t>
  </si>
  <si>
    <t>ISABELLY SANTOS</t>
  </si>
  <si>
    <t>Joao Victor De Oliveira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</si>
</sst>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dd/MM/yyyy"/>
    <numFmt numFmtId="166" formatCode="dd&quot;/&quot;mm"/>
    <numFmt numFmtId="167" formatCode="dd/mm/yyyy"/>
  </numFmts>
  <fonts count="7">
    <font>
      <sz val="10.0"/>
      <color rgb="FF000000"/>
      <name val="Arial"/>
      <scheme val="minor"/>
    </font>
    <font>
      <b/>
      <color rgb="FFFFFFFF"/>
      <name val="Tahoma"/>
    </font>
    <font/>
    <font>
      <color theme="1"/>
      <name val="Arial"/>
    </font>
    <font>
      <b/>
      <color theme="1"/>
      <name val="Tahoma"/>
    </font>
    <font>
      <color theme="1"/>
      <name val="Tahoma"/>
    </font>
    <font>
      <color theme="1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6AA84F"/>
        <bgColor rgb="FF6AA84F"/>
      </patternFill>
    </fill>
    <fill>
      <patternFill patternType="solid">
        <fgColor rgb="FF4A86E8"/>
        <bgColor rgb="FF4A86E8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CC4125"/>
        <bgColor rgb="FFCC4125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EA4335"/>
        <bgColor rgb="FFEA4335"/>
      </patternFill>
    </fill>
  </fills>
  <borders count="4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3" fontId="3" numFmtId="0" xfId="0" applyAlignment="1" applyBorder="1" applyFill="1" applyFont="1">
      <alignment vertical="bottom"/>
    </xf>
    <xf borderId="4" fillId="0" fontId="2" numFmtId="0" xfId="0" applyBorder="1" applyFont="1"/>
    <xf borderId="5" fillId="0" fontId="4" numFmtId="0" xfId="0" applyAlignment="1" applyBorder="1" applyFont="1">
      <alignment horizontal="center" shrinkToFit="0" vertical="bottom" wrapText="1"/>
    </xf>
    <xf borderId="6" fillId="0" fontId="4" numFmtId="0" xfId="0" applyAlignment="1" applyBorder="1" applyFont="1">
      <alignment horizontal="center" shrinkToFit="0" vertical="bottom" wrapText="1"/>
    </xf>
    <xf borderId="7" fillId="0" fontId="4" numFmtId="164" xfId="0" applyAlignment="1" applyBorder="1" applyFont="1" applyNumberFormat="1">
      <alignment horizontal="center" shrinkToFit="0" vertical="bottom" wrapText="1"/>
    </xf>
    <xf borderId="3" fillId="4" fontId="4" numFmtId="0" xfId="0" applyAlignment="1" applyBorder="1" applyFill="1" applyFont="1">
      <alignment horizontal="center" vertical="bottom"/>
    </xf>
    <xf borderId="3" fillId="5" fontId="4" numFmtId="0" xfId="0" applyAlignment="1" applyBorder="1" applyFill="1" applyFont="1">
      <alignment horizontal="center" vertical="bottom"/>
    </xf>
    <xf borderId="3" fillId="6" fontId="4" numFmtId="0" xfId="0" applyAlignment="1" applyBorder="1" applyFill="1" applyFont="1">
      <alignment horizontal="center" vertical="bottom"/>
    </xf>
    <xf borderId="3" fillId="7" fontId="4" numFmtId="0" xfId="0" applyAlignment="1" applyBorder="1" applyFill="1" applyFont="1">
      <alignment horizontal="center" vertical="bottom"/>
    </xf>
    <xf borderId="8" fillId="0" fontId="4" numFmtId="0" xfId="0" applyAlignment="1" applyBorder="1" applyFont="1">
      <alignment horizontal="center" vertical="bottom"/>
    </xf>
    <xf borderId="9" fillId="0" fontId="4" numFmtId="165" xfId="0" applyAlignment="1" applyBorder="1" applyFont="1" applyNumberFormat="1">
      <alignment horizontal="center" vertical="bottom"/>
    </xf>
    <xf borderId="10" fillId="0" fontId="2" numFmtId="0" xfId="0" applyBorder="1" applyFont="1"/>
    <xf borderId="11" fillId="4" fontId="4" numFmtId="0" xfId="0" applyAlignment="1" applyBorder="1" applyFont="1">
      <alignment horizontal="center" vertical="bottom"/>
    </xf>
    <xf borderId="12" fillId="0" fontId="2" numFmtId="0" xfId="0" applyBorder="1" applyFont="1"/>
    <xf borderId="13" fillId="0" fontId="2" numFmtId="0" xfId="0" applyBorder="1" applyFont="1"/>
    <xf borderId="11" fillId="5" fontId="4" numFmtId="0" xfId="0" applyAlignment="1" applyBorder="1" applyFont="1">
      <alignment horizontal="center" vertical="bottom"/>
    </xf>
    <xf borderId="11" fillId="6" fontId="4" numFmtId="0" xfId="0" applyAlignment="1" applyBorder="1" applyFont="1">
      <alignment horizontal="center" vertical="bottom"/>
    </xf>
    <xf borderId="14" fillId="0" fontId="2" numFmtId="0" xfId="0" applyBorder="1" applyFont="1"/>
    <xf borderId="15" fillId="8" fontId="3" numFmtId="166" xfId="0" applyAlignment="1" applyBorder="1" applyFill="1" applyFont="1" applyNumberFormat="1">
      <alignment vertical="bottom"/>
    </xf>
    <xf borderId="16" fillId="8" fontId="3" numFmtId="166" xfId="0" applyAlignment="1" applyBorder="1" applyFont="1" applyNumberFormat="1">
      <alignment vertical="bottom"/>
    </xf>
    <xf borderId="17" fillId="0" fontId="2" numFmtId="0" xfId="0" applyBorder="1" applyFont="1"/>
    <xf borderId="18" fillId="0" fontId="2" numFmtId="0" xfId="0" applyBorder="1" applyFont="1"/>
    <xf borderId="3" fillId="9" fontId="4" numFmtId="0" xfId="0" applyAlignment="1" applyBorder="1" applyFill="1" applyFont="1">
      <alignment horizontal="center"/>
    </xf>
    <xf borderId="19" fillId="9" fontId="4" numFmtId="0" xfId="0" applyAlignment="1" applyBorder="1" applyFont="1">
      <alignment horizontal="center"/>
    </xf>
    <xf borderId="3" fillId="10" fontId="4" numFmtId="0" xfId="0" applyAlignment="1" applyBorder="1" applyFill="1" applyFont="1">
      <alignment horizontal="center"/>
    </xf>
    <xf borderId="19" fillId="10" fontId="4" numFmtId="0" xfId="0" applyAlignment="1" applyBorder="1" applyFont="1">
      <alignment horizontal="center"/>
    </xf>
    <xf borderId="3" fillId="11" fontId="4" numFmtId="0" xfId="0" applyAlignment="1" applyBorder="1" applyFill="1" applyFont="1">
      <alignment horizontal="center"/>
    </xf>
    <xf borderId="19" fillId="11" fontId="4" numFmtId="0" xfId="0" applyAlignment="1" applyBorder="1" applyFont="1">
      <alignment horizontal="center"/>
    </xf>
    <xf borderId="19" fillId="12" fontId="4" numFmtId="0" xfId="0" applyAlignment="1" applyBorder="1" applyFill="1" applyFont="1">
      <alignment horizontal="center"/>
    </xf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4" fontId="4" numFmtId="166" xfId="0" applyAlignment="1" applyBorder="1" applyFont="1" applyNumberFormat="1">
      <alignment horizontal="center" vertical="bottom"/>
    </xf>
    <xf borderId="24" fillId="4" fontId="4" numFmtId="167" xfId="0" applyAlignment="1" applyBorder="1" applyFont="1" applyNumberFormat="1">
      <alignment horizontal="center" shrinkToFit="0" vertical="bottom" wrapText="0"/>
    </xf>
    <xf borderId="24" fillId="4" fontId="4" numFmtId="167" xfId="0" applyAlignment="1" applyBorder="1" applyFont="1" applyNumberFormat="1">
      <alignment horizontal="center" vertical="bottom"/>
    </xf>
    <xf borderId="24" fillId="4" fontId="4" numFmtId="166" xfId="0" applyAlignment="1" applyBorder="1" applyFont="1" applyNumberFormat="1">
      <alignment horizontal="center" vertical="bottom"/>
    </xf>
    <xf borderId="21" fillId="4" fontId="4" numFmtId="166" xfId="0" applyAlignment="1" applyBorder="1" applyFont="1" applyNumberFormat="1">
      <alignment horizontal="center" vertical="bottom"/>
    </xf>
    <xf borderId="23" fillId="5" fontId="4" numFmtId="167" xfId="0" applyAlignment="1" applyBorder="1" applyFont="1" applyNumberFormat="1">
      <alignment horizontal="center" shrinkToFit="0" vertical="bottom" wrapText="0"/>
    </xf>
    <xf borderId="24" fillId="5" fontId="4" numFmtId="167" xfId="0" applyAlignment="1" applyBorder="1" applyFont="1" applyNumberFormat="1">
      <alignment horizontal="center" vertical="bottom"/>
    </xf>
    <xf borderId="24" fillId="5" fontId="4" numFmtId="166" xfId="0" applyAlignment="1" applyBorder="1" applyFont="1" applyNumberFormat="1">
      <alignment horizontal="center" vertical="bottom"/>
    </xf>
    <xf borderId="24" fillId="5" fontId="4" numFmtId="167" xfId="0" applyAlignment="1" applyBorder="1" applyFont="1" applyNumberFormat="1">
      <alignment horizontal="center" shrinkToFit="0" vertical="bottom" wrapText="0"/>
    </xf>
    <xf borderId="21" fillId="5" fontId="4" numFmtId="167" xfId="0" applyAlignment="1" applyBorder="1" applyFont="1" applyNumberFormat="1">
      <alignment horizontal="center" shrinkToFit="0" vertical="bottom" wrapText="0"/>
    </xf>
    <xf borderId="23" fillId="6" fontId="4" numFmtId="167" xfId="0" applyAlignment="1" applyBorder="1" applyFont="1" applyNumberFormat="1">
      <alignment horizontal="center" vertical="bottom"/>
    </xf>
    <xf borderId="24" fillId="6" fontId="4" numFmtId="166" xfId="0" applyAlignment="1" applyBorder="1" applyFont="1" applyNumberFormat="1">
      <alignment horizontal="center" vertical="bottom"/>
    </xf>
    <xf borderId="24" fillId="6" fontId="4" numFmtId="167" xfId="0" applyAlignment="1" applyBorder="1" applyFont="1" applyNumberFormat="1">
      <alignment horizontal="center" shrinkToFit="0" vertical="bottom" wrapText="0"/>
    </xf>
    <xf borderId="24" fillId="6" fontId="4" numFmtId="167" xfId="0" applyAlignment="1" applyBorder="1" applyFont="1" applyNumberFormat="1">
      <alignment horizontal="center" vertical="bottom"/>
    </xf>
    <xf borderId="21" fillId="6" fontId="4" numFmtId="167" xfId="0" applyAlignment="1" applyBorder="1" applyFont="1" applyNumberFormat="1">
      <alignment horizontal="center" vertical="bottom"/>
    </xf>
    <xf borderId="23" fillId="7" fontId="4" numFmtId="166" xfId="0" applyAlignment="1" applyBorder="1" applyFont="1" applyNumberFormat="1">
      <alignment horizontal="center" vertical="bottom"/>
    </xf>
    <xf borderId="24" fillId="7" fontId="4" numFmtId="167" xfId="0" applyAlignment="1" applyBorder="1" applyFont="1" applyNumberFormat="1">
      <alignment horizontal="center" shrinkToFit="0" vertical="bottom" wrapText="0"/>
    </xf>
    <xf borderId="24" fillId="7" fontId="4" numFmtId="167" xfId="0" applyAlignment="1" applyBorder="1" applyFont="1" applyNumberFormat="1">
      <alignment horizontal="center" vertical="bottom"/>
    </xf>
    <xf borderId="24" fillId="7" fontId="4" numFmtId="166" xfId="0" applyAlignment="1" applyBorder="1" applyFont="1" applyNumberFormat="1">
      <alignment horizontal="center" vertical="bottom"/>
    </xf>
    <xf borderId="1" fillId="7" fontId="4" numFmtId="166" xfId="0" applyAlignment="1" applyBorder="1" applyFont="1" applyNumberFormat="1">
      <alignment horizontal="center" vertical="bottom"/>
    </xf>
    <xf borderId="25" fillId="8" fontId="4" numFmtId="167" xfId="0" applyAlignment="1" applyBorder="1" applyFont="1" applyNumberFormat="1">
      <alignment horizontal="center" shrinkToFit="0" vertical="bottom" wrapText="0"/>
    </xf>
    <xf borderId="26" fillId="8" fontId="4" numFmtId="167" xfId="0" applyAlignment="1" applyBorder="1" applyFont="1" applyNumberFormat="1">
      <alignment horizontal="center" vertical="bottom"/>
    </xf>
    <xf borderId="27" fillId="0" fontId="2" numFmtId="0" xfId="0" applyBorder="1" applyFont="1"/>
    <xf borderId="28" fillId="0" fontId="2" numFmtId="0" xfId="0" applyBorder="1" applyFont="1"/>
    <xf borderId="29" fillId="0" fontId="2" numFmtId="0" xfId="0" applyBorder="1" applyFont="1"/>
    <xf borderId="30" fillId="0" fontId="2" numFmtId="0" xfId="0" applyBorder="1" applyFont="1"/>
    <xf borderId="31" fillId="0" fontId="2" numFmtId="0" xfId="0" applyBorder="1" applyFont="1"/>
    <xf borderId="32" fillId="0" fontId="2" numFmtId="0" xfId="0" applyBorder="1" applyFont="1"/>
    <xf borderId="24" fillId="0" fontId="2" numFmtId="0" xfId="0" applyBorder="1" applyFont="1"/>
    <xf borderId="26" fillId="0" fontId="4" numFmtId="165" xfId="0" applyAlignment="1" applyBorder="1" applyFont="1" applyNumberFormat="1">
      <alignment horizontal="center" vertical="bottom"/>
    </xf>
    <xf borderId="1" fillId="0" fontId="4" numFmtId="165" xfId="0" applyAlignment="1" applyBorder="1" applyFont="1" applyNumberFormat="1">
      <alignment horizontal="center" vertical="bottom"/>
    </xf>
    <xf borderId="33" fillId="13" fontId="3" numFmtId="10" xfId="0" applyAlignment="1" applyBorder="1" applyFill="1" applyFont="1" applyNumberFormat="1">
      <alignment readingOrder="0" vertical="bottom"/>
    </xf>
    <xf borderId="34" fillId="0" fontId="2" numFmtId="0" xfId="0" applyBorder="1" applyFont="1"/>
    <xf borderId="35" fillId="9" fontId="4" numFmtId="0" xfId="0" applyAlignment="1" applyBorder="1" applyFont="1">
      <alignment horizontal="center"/>
    </xf>
    <xf borderId="35" fillId="0" fontId="2" numFmtId="0" xfId="0" applyBorder="1" applyFont="1"/>
    <xf borderId="36" fillId="10" fontId="4" numFmtId="0" xfId="0" applyAlignment="1" applyBorder="1" applyFont="1">
      <alignment horizontal="center"/>
    </xf>
    <xf borderId="36" fillId="11" fontId="4" numFmtId="0" xfId="0" applyAlignment="1" applyBorder="1" applyFont="1">
      <alignment horizontal="center"/>
    </xf>
    <xf borderId="36" fillId="9" fontId="4" numFmtId="0" xfId="0" applyAlignment="1" applyBorder="1" applyFont="1">
      <alignment horizontal="center"/>
    </xf>
    <xf borderId="26" fillId="14" fontId="5" numFmtId="1" xfId="0" applyAlignment="1" applyBorder="1" applyFill="1" applyFont="1" applyNumberFormat="1">
      <alignment horizontal="center" vertical="bottom"/>
    </xf>
    <xf borderId="26" fillId="14" fontId="5" numFmtId="0" xfId="0" applyAlignment="1" applyBorder="1" applyFont="1">
      <alignment vertical="bottom"/>
    </xf>
    <xf borderId="26" fillId="14" fontId="5" numFmtId="0" xfId="0" applyAlignment="1" applyBorder="1" applyFont="1">
      <alignment horizontal="center" vertical="bottom"/>
    </xf>
    <xf borderId="26" fillId="14" fontId="5" numFmtId="165" xfId="0" applyAlignment="1" applyBorder="1" applyFont="1" applyNumberFormat="1">
      <alignment horizontal="center" vertical="bottom"/>
    </xf>
    <xf borderId="26" fillId="15" fontId="5" numFmtId="165" xfId="0" applyAlignment="1" applyBorder="1" applyFill="1" applyFont="1" applyNumberFormat="1">
      <alignment horizontal="center"/>
    </xf>
    <xf borderId="25" fillId="14" fontId="3" numFmtId="0" xfId="0" applyAlignment="1" applyBorder="1" applyFont="1">
      <alignment horizontal="right" readingOrder="0" vertical="bottom"/>
    </xf>
    <xf borderId="26" fillId="14" fontId="3" numFmtId="0" xfId="0" applyAlignment="1" applyBorder="1" applyFont="1">
      <alignment horizontal="right" vertical="bottom"/>
    </xf>
    <xf borderId="25" fillId="0" fontId="3" numFmtId="0" xfId="0" applyAlignment="1" applyBorder="1" applyFont="1">
      <alignment vertical="bottom"/>
    </xf>
    <xf borderId="25" fillId="0" fontId="3" numFmtId="0" xfId="0" applyAlignment="1" applyBorder="1" applyFont="1">
      <alignment readingOrder="0" vertical="bottom"/>
    </xf>
    <xf borderId="23" fillId="0" fontId="3" numFmtId="0" xfId="0" applyAlignment="1" applyBorder="1" applyFont="1">
      <alignment horizontal="center" vertical="bottom"/>
    </xf>
    <xf borderId="37" fillId="0" fontId="4" numFmtId="0" xfId="0" applyAlignment="1" applyBorder="1" applyFont="1">
      <alignment horizontal="center" vertical="bottom"/>
    </xf>
    <xf borderId="38" fillId="0" fontId="4" numFmtId="3" xfId="0" applyAlignment="1" applyBorder="1" applyFont="1" applyNumberFormat="1">
      <alignment horizontal="center" vertical="bottom"/>
    </xf>
    <xf borderId="2" fillId="7" fontId="4" numFmtId="10" xfId="0" applyAlignment="1" applyBorder="1" applyFont="1" applyNumberFormat="1">
      <alignment horizontal="center" vertical="bottom"/>
    </xf>
    <xf borderId="19" fillId="0" fontId="3" numFmtId="1" xfId="0" applyAlignment="1" applyBorder="1" applyFont="1" applyNumberFormat="1">
      <alignment horizontal="center" vertical="bottom"/>
    </xf>
    <xf borderId="36" fillId="7" fontId="5" numFmtId="2" xfId="0" applyAlignment="1" applyBorder="1" applyFont="1" applyNumberFormat="1">
      <alignment horizontal="center" vertical="bottom"/>
    </xf>
    <xf borderId="19" fillId="0" fontId="3" numFmtId="2" xfId="0" applyAlignment="1" applyBorder="1" applyFont="1" applyNumberFormat="1">
      <alignment vertical="bottom"/>
    </xf>
    <xf borderId="39" fillId="15" fontId="5" numFmtId="2" xfId="0" applyAlignment="1" applyBorder="1" applyFont="1" applyNumberFormat="1">
      <alignment horizontal="center" vertical="bottom"/>
    </xf>
    <xf borderId="19" fillId="16" fontId="3" numFmtId="2" xfId="0" applyAlignment="1" applyBorder="1" applyFill="1" applyFont="1" applyNumberFormat="1">
      <alignment horizontal="center" vertical="bottom"/>
    </xf>
    <xf borderId="19" fillId="0" fontId="3" numFmtId="2" xfId="0" applyAlignment="1" applyBorder="1" applyFont="1" applyNumberFormat="1">
      <alignment readingOrder="0" vertical="bottom"/>
    </xf>
    <xf borderId="36" fillId="17" fontId="5" numFmtId="2" xfId="0" applyAlignment="1" applyBorder="1" applyFill="1" applyFont="1" applyNumberFormat="1">
      <alignment horizontal="center" vertical="bottom"/>
    </xf>
    <xf borderId="25" fillId="0" fontId="3" numFmtId="2" xfId="0" applyAlignment="1" applyBorder="1" applyFont="1" applyNumberFormat="1">
      <alignment vertical="bottom"/>
    </xf>
    <xf borderId="26" fillId="0" fontId="3" numFmtId="2" xfId="0" applyAlignment="1" applyBorder="1" applyFont="1" applyNumberFormat="1">
      <alignment vertical="bottom"/>
    </xf>
    <xf borderId="19" fillId="0" fontId="3" numFmtId="2" xfId="0" applyAlignment="1" applyBorder="1" applyFont="1" applyNumberFormat="1">
      <alignment horizontal="center" vertical="bottom"/>
    </xf>
    <xf borderId="25" fillId="0" fontId="5" numFmtId="2" xfId="0" applyAlignment="1" applyBorder="1" applyFont="1" applyNumberFormat="1">
      <alignment horizontal="center" vertical="bottom"/>
    </xf>
    <xf borderId="26" fillId="14" fontId="5" numFmtId="165" xfId="0" applyAlignment="1" applyBorder="1" applyFont="1" applyNumberFormat="1">
      <alignment vertical="bottom"/>
    </xf>
    <xf borderId="26" fillId="0" fontId="5" numFmtId="165" xfId="0" applyAlignment="1" applyBorder="1" applyFont="1" applyNumberFormat="1">
      <alignment horizontal="center"/>
    </xf>
    <xf borderId="25" fillId="14" fontId="3" numFmtId="0" xfId="0" applyAlignment="1" applyBorder="1" applyFont="1">
      <alignment horizontal="right" vertical="bottom"/>
    </xf>
    <xf borderId="25" fillId="0" fontId="3" numFmtId="0" xfId="0" applyAlignment="1" applyBorder="1" applyFont="1">
      <alignment horizontal="center" vertical="bottom"/>
    </xf>
    <xf borderId="5" fillId="0" fontId="3" numFmtId="1" xfId="0" applyAlignment="1" applyBorder="1" applyFont="1" applyNumberFormat="1">
      <alignment horizontal="center" vertical="bottom"/>
    </xf>
    <xf borderId="37" fillId="0" fontId="3" numFmtId="2" xfId="0" applyAlignment="1" applyBorder="1" applyFont="1" applyNumberFormat="1">
      <alignment vertical="bottom"/>
    </xf>
    <xf borderId="34" fillId="15" fontId="5" numFmtId="2" xfId="0" applyAlignment="1" applyBorder="1" applyFont="1" applyNumberFormat="1">
      <alignment horizontal="center" vertical="bottom"/>
    </xf>
    <xf borderId="37" fillId="0" fontId="3" numFmtId="2" xfId="0" applyAlignment="1" applyBorder="1" applyFont="1" applyNumberFormat="1">
      <alignment readingOrder="0" vertical="bottom"/>
    </xf>
    <xf borderId="25" fillId="14" fontId="3" numFmtId="0" xfId="0" applyAlignment="1" applyBorder="1" applyFont="1">
      <alignment readingOrder="0" vertical="bottom"/>
    </xf>
    <xf borderId="26" fillId="14" fontId="3" numFmtId="0" xfId="0" applyAlignment="1" applyBorder="1" applyFont="1">
      <alignment vertical="bottom"/>
    </xf>
    <xf borderId="25" fillId="0" fontId="3" numFmtId="0" xfId="0" applyAlignment="1" applyBorder="1" applyFont="1">
      <alignment horizontal="center" readingOrder="0" vertical="bottom"/>
    </xf>
    <xf borderId="26" fillId="0" fontId="5" numFmtId="1" xfId="0" applyAlignment="1" applyBorder="1" applyFont="1" applyNumberFormat="1">
      <alignment horizontal="center" vertical="bottom"/>
    </xf>
    <xf borderId="26" fillId="14" fontId="5" numFmtId="167" xfId="0" applyAlignment="1" applyBorder="1" applyFont="1" applyNumberFormat="1">
      <alignment horizontal="center" vertical="bottom"/>
    </xf>
    <xf borderId="5" fillId="0" fontId="3" numFmtId="2" xfId="0" applyAlignment="1" applyBorder="1" applyFont="1" applyNumberFormat="1">
      <alignment vertical="bottom"/>
    </xf>
    <xf borderId="5" fillId="0" fontId="3" numFmtId="2" xfId="0" applyAlignment="1" applyBorder="1" applyFont="1" applyNumberFormat="1">
      <alignment readingOrder="0" vertical="bottom"/>
    </xf>
    <xf borderId="40" fillId="0" fontId="3" numFmtId="2" xfId="0" applyAlignment="1" applyBorder="1" applyFont="1" applyNumberFormat="1">
      <alignment vertical="bottom"/>
    </xf>
    <xf borderId="6" fillId="0" fontId="3" numFmtId="2" xfId="0" applyAlignment="1" applyBorder="1" applyFont="1" applyNumberFormat="1">
      <alignment vertical="bottom"/>
    </xf>
    <xf borderId="40" fillId="0" fontId="3" numFmtId="2" xfId="0" applyAlignment="1" applyBorder="1" applyFont="1" applyNumberFormat="1">
      <alignment readingOrder="0" vertical="bottom"/>
    </xf>
    <xf borderId="41" fillId="0" fontId="3" numFmtId="2" xfId="0" applyAlignment="1" applyBorder="1" applyFont="1" applyNumberFormat="1">
      <alignment vertical="bottom"/>
    </xf>
    <xf borderId="37" fillId="0" fontId="5" numFmtId="2" xfId="0" applyAlignment="1" applyBorder="1" applyFont="1" applyNumberFormat="1">
      <alignment horizontal="center" vertical="bottom"/>
    </xf>
    <xf borderId="38" fillId="0" fontId="3" numFmtId="2" xfId="0" applyAlignment="1" applyBorder="1" applyFont="1" applyNumberFormat="1">
      <alignment vertical="bottom"/>
    </xf>
    <xf borderId="34" fillId="0" fontId="5" numFmtId="2" xfId="0" applyAlignment="1" applyBorder="1" applyFont="1" applyNumberFormat="1">
      <alignment horizontal="center" vertical="bottom"/>
    </xf>
    <xf borderId="32" fillId="14" fontId="5" numFmtId="2" xfId="0" applyAlignment="1" applyBorder="1" applyFont="1" applyNumberFormat="1">
      <alignment horizontal="center" vertical="bottom"/>
    </xf>
    <xf borderId="37" fillId="14" fontId="3" numFmtId="2" xfId="0" applyAlignment="1" applyBorder="1" applyFont="1" applyNumberFormat="1">
      <alignment vertical="bottom"/>
    </xf>
    <xf borderId="37" fillId="14" fontId="5" numFmtId="2" xfId="0" applyAlignment="1" applyBorder="1" applyFont="1" applyNumberFormat="1">
      <alignment horizontal="center" vertical="bottom"/>
    </xf>
    <xf borderId="37" fillId="17" fontId="5" numFmtId="2" xfId="0" applyAlignment="1" applyBorder="1" applyFont="1" applyNumberFormat="1">
      <alignment horizontal="center" vertical="bottom"/>
    </xf>
    <xf borderId="28" fillId="14" fontId="5" numFmtId="2" xfId="0" applyAlignment="1" applyBorder="1" applyFont="1" applyNumberFormat="1">
      <alignment horizontal="center" vertical="bottom"/>
    </xf>
    <xf borderId="0" fillId="0" fontId="3" numFmtId="2" xfId="0" applyAlignment="1" applyFont="1" applyNumberFormat="1">
      <alignment vertical="bottom"/>
    </xf>
    <xf borderId="26" fillId="0" fontId="5" numFmtId="165" xfId="0" applyAlignment="1" applyBorder="1" applyFont="1" applyNumberFormat="1">
      <alignment horizontal="center" vertical="bottom"/>
    </xf>
    <xf borderId="26" fillId="14" fontId="3" numFmtId="2" xfId="0" applyAlignment="1" applyBorder="1" applyFont="1" applyNumberFormat="1">
      <alignment vertical="bottom"/>
    </xf>
    <xf borderId="42" fillId="14" fontId="5" numFmtId="2" xfId="0" applyAlignment="1" applyBorder="1" applyFont="1" applyNumberFormat="1">
      <alignment horizontal="center" vertical="bottom"/>
    </xf>
    <xf borderId="42" fillId="14" fontId="3" numFmtId="2" xfId="0" applyAlignment="1" applyBorder="1" applyFont="1" applyNumberFormat="1">
      <alignment vertical="bottom"/>
    </xf>
    <xf borderId="26" fillId="0" fontId="5" numFmtId="0" xfId="0" applyAlignment="1" applyBorder="1" applyFont="1">
      <alignment vertical="bottom"/>
    </xf>
    <xf borderId="26" fillId="0" fontId="5" numFmtId="0" xfId="0" applyAlignment="1" applyBorder="1" applyFont="1">
      <alignment horizontal="center" vertical="bottom"/>
    </xf>
    <xf borderId="25" fillId="0" fontId="3" numFmtId="2" xfId="0" applyAlignment="1" applyBorder="1" applyFont="1" applyNumberFormat="1">
      <alignment horizontal="center" vertical="bottom"/>
    </xf>
    <xf borderId="26" fillId="14" fontId="5" numFmtId="165" xfId="0" applyAlignment="1" applyBorder="1" applyFont="1" applyNumberFormat="1">
      <alignment horizontal="center"/>
    </xf>
    <xf borderId="43" fillId="0" fontId="3" numFmtId="2" xfId="0" applyAlignment="1" applyBorder="1" applyFont="1" applyNumberFormat="1">
      <alignment vertical="bottom"/>
    </xf>
    <xf borderId="8" fillId="0" fontId="3" numFmtId="2" xfId="0" applyAlignment="1" applyBorder="1" applyFont="1" applyNumberFormat="1">
      <alignment vertical="bottom"/>
    </xf>
    <xf borderId="8" fillId="17" fontId="5" numFmtId="2" xfId="0" applyAlignment="1" applyBorder="1" applyFont="1" applyNumberFormat="1">
      <alignment horizontal="center" vertical="bottom"/>
    </xf>
    <xf borderId="26" fillId="0" fontId="3" numFmtId="165" xfId="0" applyAlignment="1" applyBorder="1" applyFont="1" applyNumberFormat="1">
      <alignment vertical="bottom"/>
    </xf>
    <xf borderId="26" fillId="0" fontId="3" numFmtId="165" xfId="0" applyBorder="1" applyFont="1" applyNumberFormat="1"/>
    <xf borderId="25" fillId="14" fontId="3" numFmtId="0" xfId="0" applyAlignment="1" applyBorder="1" applyFont="1">
      <alignment vertical="bottom"/>
    </xf>
    <xf borderId="26" fillId="14" fontId="5" numFmtId="1" xfId="0" applyAlignment="1" applyBorder="1" applyFont="1" applyNumberFormat="1">
      <alignment horizontal="center" readingOrder="0" vertical="bottom"/>
    </xf>
    <xf borderId="26" fillId="14" fontId="5" numFmtId="0" xfId="0" applyAlignment="1" applyBorder="1" applyFont="1">
      <alignment readingOrder="0" vertical="bottom"/>
    </xf>
    <xf borderId="26" fillId="0" fontId="3" numFmtId="165" xfId="0" applyAlignment="1" applyBorder="1" applyFont="1" applyNumberFormat="1">
      <alignment readingOrder="0" vertical="bottom"/>
    </xf>
    <xf borderId="0" fillId="0" fontId="6" numFmtId="0" xfId="0" applyFont="1"/>
  </cellXfs>
  <cellStyles count="1">
    <cellStyle xfId="0" name="Normal" builtinId="0"/>
  </cellStyles>
  <dxfs count="8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>
        <color rgb="FF000000"/>
      </font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25"/>
    <col customWidth="1" min="6" max="55" width="8.63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5" t="s">
        <v>1</v>
      </c>
      <c r="BE1" s="6" t="s">
        <v>2</v>
      </c>
      <c r="BF1" s="7" t="s">
        <v>3</v>
      </c>
      <c r="BG1" s="8" t="s">
        <v>4</v>
      </c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9" t="s">
        <v>5</v>
      </c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10" t="s">
        <v>6</v>
      </c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11" t="s">
        <v>7</v>
      </c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</row>
    <row r="2">
      <c r="A2" s="12" t="s">
        <v>8</v>
      </c>
      <c r="B2" s="12" t="s">
        <v>9</v>
      </c>
      <c r="C2" s="12" t="s">
        <v>10</v>
      </c>
      <c r="D2" s="13" t="s">
        <v>11</v>
      </c>
      <c r="E2" s="14"/>
      <c r="F2" s="15" t="s">
        <v>12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7"/>
      <c r="R2" s="18" t="s">
        <v>13</v>
      </c>
      <c r="S2" s="16"/>
      <c r="T2" s="16"/>
      <c r="U2" s="16"/>
      <c r="V2" s="16"/>
      <c r="W2" s="16"/>
      <c r="X2" s="16"/>
      <c r="Y2" s="16"/>
      <c r="Z2" s="16"/>
      <c r="AA2" s="16"/>
      <c r="AB2" s="16"/>
      <c r="AC2" s="17"/>
      <c r="AD2" s="19" t="s">
        <v>14</v>
      </c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7"/>
      <c r="AP2" s="11" t="s">
        <v>15</v>
      </c>
      <c r="AQ2" s="4"/>
      <c r="AR2" s="4"/>
      <c r="AS2" s="4"/>
      <c r="AT2" s="4"/>
      <c r="AU2" s="4"/>
      <c r="AV2" s="4"/>
      <c r="AW2" s="4"/>
      <c r="AX2" s="4"/>
      <c r="AY2" s="4"/>
      <c r="AZ2" s="4"/>
      <c r="BA2" s="20"/>
      <c r="BB2" s="21"/>
      <c r="BC2" s="22"/>
      <c r="BD2" s="23"/>
      <c r="BE2" s="24"/>
      <c r="BG2" s="25" t="s">
        <v>16</v>
      </c>
      <c r="BH2" s="4"/>
      <c r="BI2" s="26" t="s">
        <v>17</v>
      </c>
      <c r="BJ2" s="27" t="s">
        <v>18</v>
      </c>
      <c r="BK2" s="4"/>
      <c r="BL2" s="20"/>
      <c r="BM2" s="28" t="s">
        <v>17</v>
      </c>
      <c r="BN2" s="29" t="s">
        <v>19</v>
      </c>
      <c r="BO2" s="4"/>
      <c r="BP2" s="20"/>
      <c r="BQ2" s="30" t="s">
        <v>17</v>
      </c>
      <c r="BR2" s="31" t="s">
        <v>20</v>
      </c>
      <c r="BS2" s="25" t="s">
        <v>16</v>
      </c>
      <c r="BT2" s="20"/>
      <c r="BU2" s="26" t="s">
        <v>17</v>
      </c>
      <c r="BV2" s="27" t="s">
        <v>18</v>
      </c>
      <c r="BW2" s="4"/>
      <c r="BX2" s="20"/>
      <c r="BY2" s="28" t="s">
        <v>17</v>
      </c>
      <c r="BZ2" s="29" t="s">
        <v>19</v>
      </c>
      <c r="CA2" s="4"/>
      <c r="CB2" s="20"/>
      <c r="CC2" s="30" t="s">
        <v>17</v>
      </c>
      <c r="CD2" s="31" t="s">
        <v>20</v>
      </c>
      <c r="CE2" s="25" t="s">
        <v>16</v>
      </c>
      <c r="CF2" s="20"/>
      <c r="CG2" s="26" t="s">
        <v>17</v>
      </c>
      <c r="CH2" s="27" t="s">
        <v>18</v>
      </c>
      <c r="CI2" s="4"/>
      <c r="CJ2" s="20"/>
      <c r="CK2" s="28" t="s">
        <v>17</v>
      </c>
      <c r="CL2" s="29" t="s">
        <v>19</v>
      </c>
      <c r="CM2" s="4"/>
      <c r="CN2" s="20"/>
      <c r="CO2" s="30" t="s">
        <v>17</v>
      </c>
      <c r="CP2" s="31" t="s">
        <v>20</v>
      </c>
      <c r="CQ2" s="25" t="s">
        <v>16</v>
      </c>
      <c r="CR2" s="20"/>
      <c r="CS2" s="26" t="s">
        <v>17</v>
      </c>
      <c r="CT2" s="27" t="s">
        <v>18</v>
      </c>
      <c r="CU2" s="4"/>
      <c r="CV2" s="20"/>
      <c r="CW2" s="28" t="s">
        <v>17</v>
      </c>
      <c r="CX2" s="29" t="s">
        <v>19</v>
      </c>
      <c r="CY2" s="4"/>
      <c r="CZ2" s="20"/>
      <c r="DA2" s="30" t="s">
        <v>17</v>
      </c>
      <c r="DB2" s="31" t="s">
        <v>20</v>
      </c>
    </row>
    <row r="3">
      <c r="A3" s="32"/>
      <c r="B3" s="32"/>
      <c r="C3" s="32"/>
      <c r="D3" s="33"/>
      <c r="E3" s="34"/>
      <c r="F3" s="35">
        <v>46043.0</v>
      </c>
      <c r="G3" s="36">
        <v>46050.0</v>
      </c>
      <c r="H3" s="37">
        <v>46057.0</v>
      </c>
      <c r="I3" s="38">
        <v>46064.0</v>
      </c>
      <c r="J3" s="36">
        <v>46071.0</v>
      </c>
      <c r="K3" s="37">
        <v>46078.0</v>
      </c>
      <c r="L3" s="36">
        <v>46085.0</v>
      </c>
      <c r="M3" s="37">
        <v>46092.0</v>
      </c>
      <c r="N3" s="38">
        <v>46099.0</v>
      </c>
      <c r="O3" s="38">
        <v>46106.0</v>
      </c>
      <c r="P3" s="38">
        <v>46113.0</v>
      </c>
      <c r="Q3" s="39">
        <v>46120.0</v>
      </c>
      <c r="R3" s="40">
        <v>46127.0</v>
      </c>
      <c r="S3" s="41">
        <v>46134.0</v>
      </c>
      <c r="T3" s="42">
        <v>46141.0</v>
      </c>
      <c r="U3" s="43">
        <v>46148.0</v>
      </c>
      <c r="V3" s="41">
        <v>46155.0</v>
      </c>
      <c r="W3" s="43">
        <v>46162.0</v>
      </c>
      <c r="X3" s="41">
        <v>46169.0</v>
      </c>
      <c r="Y3" s="42">
        <v>46176.0</v>
      </c>
      <c r="Z3" s="42">
        <v>46183.0</v>
      </c>
      <c r="AA3" s="42">
        <v>46190.0</v>
      </c>
      <c r="AB3" s="42">
        <v>46197.0</v>
      </c>
      <c r="AC3" s="44">
        <v>46204.0</v>
      </c>
      <c r="AD3" s="45">
        <v>46211.0</v>
      </c>
      <c r="AE3" s="46">
        <v>46218.0</v>
      </c>
      <c r="AF3" s="47">
        <v>46225.0</v>
      </c>
      <c r="AG3" s="48">
        <v>46232.0</v>
      </c>
      <c r="AH3" s="47">
        <v>46239.0</v>
      </c>
      <c r="AI3" s="48">
        <v>46246.0</v>
      </c>
      <c r="AJ3" s="46">
        <v>46253.0</v>
      </c>
      <c r="AK3" s="46">
        <v>46260.0</v>
      </c>
      <c r="AL3" s="46">
        <v>46267.0</v>
      </c>
      <c r="AM3" s="46">
        <v>46274.0</v>
      </c>
      <c r="AN3" s="47">
        <v>46281.0</v>
      </c>
      <c r="AO3" s="49">
        <v>46288.0</v>
      </c>
      <c r="AP3" s="50">
        <v>46295.0</v>
      </c>
      <c r="AQ3" s="51">
        <v>46302.0</v>
      </c>
      <c r="AR3" s="52">
        <v>46309.0</v>
      </c>
      <c r="AS3" s="51">
        <v>46316.0</v>
      </c>
      <c r="AT3" s="52">
        <v>46323.0</v>
      </c>
      <c r="AU3" s="53">
        <v>46330.0</v>
      </c>
      <c r="AV3" s="53">
        <v>46337.0</v>
      </c>
      <c r="AW3" s="53">
        <v>46344.0</v>
      </c>
      <c r="AX3" s="53">
        <v>46351.0</v>
      </c>
      <c r="AY3" s="51">
        <v>46358.0</v>
      </c>
      <c r="AZ3" s="52">
        <v>46365.0</v>
      </c>
      <c r="BA3" s="54">
        <v>46372.0</v>
      </c>
      <c r="BB3" s="55">
        <v>46379.0</v>
      </c>
      <c r="BC3" s="56">
        <v>46386.0</v>
      </c>
      <c r="BD3" s="23"/>
      <c r="BE3" s="24"/>
      <c r="BG3" s="57"/>
      <c r="BH3" s="58"/>
      <c r="BI3" s="23"/>
      <c r="BJ3" s="59"/>
      <c r="BK3" s="60"/>
      <c r="BL3" s="61"/>
      <c r="BM3" s="23"/>
      <c r="BN3" s="59"/>
      <c r="BO3" s="60"/>
      <c r="BP3" s="61"/>
      <c r="BQ3" s="23"/>
      <c r="BR3" s="23"/>
      <c r="BS3" s="57"/>
      <c r="BT3" s="62"/>
      <c r="BU3" s="23"/>
      <c r="BV3" s="59"/>
      <c r="BW3" s="60"/>
      <c r="BX3" s="61"/>
      <c r="BY3" s="23"/>
      <c r="BZ3" s="59"/>
      <c r="CA3" s="60"/>
      <c r="CB3" s="61"/>
      <c r="CC3" s="23"/>
      <c r="CD3" s="23"/>
      <c r="CE3" s="57"/>
      <c r="CF3" s="62"/>
      <c r="CG3" s="23"/>
      <c r="CH3" s="59"/>
      <c r="CI3" s="60"/>
      <c r="CJ3" s="61"/>
      <c r="CK3" s="23"/>
      <c r="CL3" s="59"/>
      <c r="CM3" s="60"/>
      <c r="CN3" s="61"/>
      <c r="CO3" s="23"/>
      <c r="CP3" s="23"/>
      <c r="CQ3" s="57"/>
      <c r="CR3" s="62"/>
      <c r="CS3" s="23"/>
      <c r="CT3" s="59"/>
      <c r="CU3" s="60"/>
      <c r="CV3" s="61"/>
      <c r="CW3" s="23"/>
      <c r="CX3" s="59"/>
      <c r="CY3" s="60"/>
      <c r="CZ3" s="61"/>
      <c r="DA3" s="23"/>
      <c r="DB3" s="23"/>
    </row>
    <row r="4">
      <c r="A4" s="63"/>
      <c r="B4" s="63"/>
      <c r="C4" s="63"/>
      <c r="D4" s="64" t="s">
        <v>21</v>
      </c>
      <c r="E4" s="65" t="s">
        <v>22</v>
      </c>
      <c r="F4" s="66">
        <f t="shared" ref="F4:BC4" si="1">COUNTIF(F5:F1005,1)/(COUNTIF(F5:F1005,1) + COUNTIF(F5:F1005,0))</f>
        <v>0.5789473684</v>
      </c>
      <c r="G4" s="66">
        <f t="shared" si="1"/>
        <v>0.6</v>
      </c>
      <c r="H4" s="66">
        <f t="shared" si="1"/>
        <v>0.65</v>
      </c>
      <c r="I4" s="66">
        <f t="shared" si="1"/>
        <v>0.6666666667</v>
      </c>
      <c r="J4" s="66">
        <f t="shared" si="1"/>
        <v>0.4761904762</v>
      </c>
      <c r="K4" s="66">
        <f t="shared" si="1"/>
        <v>0.7142857143</v>
      </c>
      <c r="L4" s="66">
        <f t="shared" si="1"/>
        <v>0.619047619</v>
      </c>
      <c r="M4" s="66">
        <f t="shared" si="1"/>
        <v>0.7142857143</v>
      </c>
      <c r="N4" s="66">
        <f t="shared" si="1"/>
        <v>0.619047619</v>
      </c>
      <c r="O4" s="66" t="str">
        <f t="shared" si="1"/>
        <v>#DIV/0!</v>
      </c>
      <c r="P4" s="66" t="str">
        <f t="shared" si="1"/>
        <v>#DIV/0!</v>
      </c>
      <c r="Q4" s="66">
        <f t="shared" si="1"/>
        <v>0.7272727273</v>
      </c>
      <c r="R4" s="66" t="str">
        <f t="shared" si="1"/>
        <v>#DIV/0!</v>
      </c>
      <c r="S4" s="66">
        <f t="shared" si="1"/>
        <v>0.5454545455</v>
      </c>
      <c r="T4" s="66">
        <f t="shared" si="1"/>
        <v>0.5238095238</v>
      </c>
      <c r="U4" s="66" t="str">
        <f t="shared" si="1"/>
        <v>#DIV/0!</v>
      </c>
      <c r="V4" s="66" t="str">
        <f t="shared" si="1"/>
        <v>#DIV/0!</v>
      </c>
      <c r="W4" s="66" t="str">
        <f t="shared" si="1"/>
        <v>#DIV/0!</v>
      </c>
      <c r="X4" s="66" t="str">
        <f t="shared" si="1"/>
        <v>#DIV/0!</v>
      </c>
      <c r="Y4" s="66" t="str">
        <f t="shared" si="1"/>
        <v>#DIV/0!</v>
      </c>
      <c r="Z4" s="66" t="str">
        <f t="shared" si="1"/>
        <v>#DIV/0!</v>
      </c>
      <c r="AA4" s="66" t="str">
        <f t="shared" si="1"/>
        <v>#DIV/0!</v>
      </c>
      <c r="AB4" s="66" t="str">
        <f t="shared" si="1"/>
        <v>#DIV/0!</v>
      </c>
      <c r="AC4" s="66" t="str">
        <f t="shared" si="1"/>
        <v>#DIV/0!</v>
      </c>
      <c r="AD4" s="66" t="str">
        <f t="shared" si="1"/>
        <v>#DIV/0!</v>
      </c>
      <c r="AE4" s="66" t="str">
        <f t="shared" si="1"/>
        <v>#DIV/0!</v>
      </c>
      <c r="AF4" s="66" t="str">
        <f t="shared" si="1"/>
        <v>#DIV/0!</v>
      </c>
      <c r="AG4" s="66" t="str">
        <f t="shared" si="1"/>
        <v>#DIV/0!</v>
      </c>
      <c r="AH4" s="66" t="str">
        <f t="shared" si="1"/>
        <v>#DIV/0!</v>
      </c>
      <c r="AI4" s="66" t="str">
        <f t="shared" si="1"/>
        <v>#DIV/0!</v>
      </c>
      <c r="AJ4" s="66" t="str">
        <f t="shared" si="1"/>
        <v>#DIV/0!</v>
      </c>
      <c r="AK4" s="66" t="str">
        <f t="shared" si="1"/>
        <v>#DIV/0!</v>
      </c>
      <c r="AL4" s="66" t="str">
        <f t="shared" si="1"/>
        <v>#DIV/0!</v>
      </c>
      <c r="AM4" s="66" t="str">
        <f t="shared" si="1"/>
        <v>#DIV/0!</v>
      </c>
      <c r="AN4" s="66" t="str">
        <f t="shared" si="1"/>
        <v>#DIV/0!</v>
      </c>
      <c r="AO4" s="66" t="str">
        <f t="shared" si="1"/>
        <v>#DIV/0!</v>
      </c>
      <c r="AP4" s="66" t="str">
        <f t="shared" si="1"/>
        <v>#DIV/0!</v>
      </c>
      <c r="AQ4" s="66" t="str">
        <f t="shared" si="1"/>
        <v>#DIV/0!</v>
      </c>
      <c r="AR4" s="66" t="str">
        <f t="shared" si="1"/>
        <v>#DIV/0!</v>
      </c>
      <c r="AS4" s="66" t="str">
        <f t="shared" si="1"/>
        <v>#DIV/0!</v>
      </c>
      <c r="AT4" s="66" t="str">
        <f t="shared" si="1"/>
        <v>#DIV/0!</v>
      </c>
      <c r="AU4" s="66" t="str">
        <f t="shared" si="1"/>
        <v>#DIV/0!</v>
      </c>
      <c r="AV4" s="66" t="str">
        <f t="shared" si="1"/>
        <v>#DIV/0!</v>
      </c>
      <c r="AW4" s="66" t="str">
        <f t="shared" si="1"/>
        <v>#DIV/0!</v>
      </c>
      <c r="AX4" s="66" t="str">
        <f t="shared" si="1"/>
        <v>#DIV/0!</v>
      </c>
      <c r="AY4" s="66" t="str">
        <f t="shared" si="1"/>
        <v>#DIV/0!</v>
      </c>
      <c r="AZ4" s="66" t="str">
        <f t="shared" si="1"/>
        <v>#DIV/0!</v>
      </c>
      <c r="BA4" s="66" t="str">
        <f t="shared" si="1"/>
        <v>#DIV/0!</v>
      </c>
      <c r="BB4" s="66" t="str">
        <f t="shared" si="1"/>
        <v>#DIV/0!</v>
      </c>
      <c r="BC4" s="66" t="str">
        <f t="shared" si="1"/>
        <v>#DIV/0!</v>
      </c>
      <c r="BD4" s="67"/>
      <c r="BE4" s="62"/>
      <c r="BF4" s="58"/>
      <c r="BG4" s="68" t="s">
        <v>23</v>
      </c>
      <c r="BH4" s="68" t="s">
        <v>24</v>
      </c>
      <c r="BI4" s="69"/>
      <c r="BJ4" s="70" t="s">
        <v>25</v>
      </c>
      <c r="BK4" s="70" t="s">
        <v>26</v>
      </c>
      <c r="BL4" s="70" t="s">
        <v>27</v>
      </c>
      <c r="BM4" s="69"/>
      <c r="BN4" s="71" t="s">
        <v>25</v>
      </c>
      <c r="BO4" s="71" t="s">
        <v>26</v>
      </c>
      <c r="BP4" s="71" t="s">
        <v>27</v>
      </c>
      <c r="BQ4" s="69"/>
      <c r="BR4" s="69"/>
      <c r="BS4" s="72" t="s">
        <v>23</v>
      </c>
      <c r="BT4" s="72" t="s">
        <v>24</v>
      </c>
      <c r="BU4" s="69"/>
      <c r="BV4" s="70" t="s">
        <v>25</v>
      </c>
      <c r="BW4" s="70" t="s">
        <v>26</v>
      </c>
      <c r="BX4" s="70" t="s">
        <v>27</v>
      </c>
      <c r="BY4" s="69"/>
      <c r="BZ4" s="71" t="s">
        <v>25</v>
      </c>
      <c r="CA4" s="71" t="s">
        <v>26</v>
      </c>
      <c r="CB4" s="71" t="s">
        <v>27</v>
      </c>
      <c r="CC4" s="69"/>
      <c r="CD4" s="69"/>
      <c r="CE4" s="72" t="s">
        <v>23</v>
      </c>
      <c r="CF4" s="72" t="s">
        <v>24</v>
      </c>
      <c r="CG4" s="69"/>
      <c r="CH4" s="70" t="s">
        <v>25</v>
      </c>
      <c r="CI4" s="70" t="s">
        <v>26</v>
      </c>
      <c r="CJ4" s="70" t="s">
        <v>27</v>
      </c>
      <c r="CK4" s="69"/>
      <c r="CL4" s="71" t="s">
        <v>25</v>
      </c>
      <c r="CM4" s="71" t="s">
        <v>26</v>
      </c>
      <c r="CN4" s="71" t="s">
        <v>27</v>
      </c>
      <c r="CO4" s="69"/>
      <c r="CP4" s="69"/>
      <c r="CQ4" s="72" t="s">
        <v>23</v>
      </c>
      <c r="CR4" s="72" t="s">
        <v>24</v>
      </c>
      <c r="CS4" s="69"/>
      <c r="CT4" s="70" t="s">
        <v>25</v>
      </c>
      <c r="CU4" s="70" t="s">
        <v>26</v>
      </c>
      <c r="CV4" s="70" t="s">
        <v>27</v>
      </c>
      <c r="CW4" s="69"/>
      <c r="CX4" s="71" t="s">
        <v>25</v>
      </c>
      <c r="CY4" s="71" t="s">
        <v>26</v>
      </c>
      <c r="CZ4" s="71" t="s">
        <v>27</v>
      </c>
      <c r="DA4" s="69"/>
      <c r="DB4" s="69"/>
    </row>
    <row r="5">
      <c r="A5" s="73">
        <v>1.0</v>
      </c>
      <c r="B5" s="74" t="s">
        <v>28</v>
      </c>
      <c r="C5" s="75">
        <v>14.0</v>
      </c>
      <c r="D5" s="76">
        <v>45722.0</v>
      </c>
      <c r="E5" s="77">
        <v>46091.0</v>
      </c>
      <c r="F5" s="78">
        <v>1.0</v>
      </c>
      <c r="G5" s="79">
        <v>0.0</v>
      </c>
      <c r="H5" s="79">
        <v>1.0</v>
      </c>
      <c r="I5" s="79">
        <v>1.0</v>
      </c>
      <c r="J5" s="79">
        <v>0.0</v>
      </c>
      <c r="K5" s="79">
        <v>0.0</v>
      </c>
      <c r="L5" s="79">
        <v>0.0</v>
      </c>
      <c r="M5" s="79">
        <v>0.0</v>
      </c>
      <c r="N5" s="79">
        <v>0.0</v>
      </c>
      <c r="O5" s="80"/>
      <c r="P5" s="80"/>
      <c r="Q5" s="81">
        <v>1.0</v>
      </c>
      <c r="R5" s="80"/>
      <c r="S5" s="81">
        <v>0.0</v>
      </c>
      <c r="T5" s="81">
        <v>1.0</v>
      </c>
      <c r="U5" s="82" t="s">
        <v>29</v>
      </c>
      <c r="V5" s="82" t="s">
        <v>29</v>
      </c>
      <c r="W5" s="82" t="s">
        <v>29</v>
      </c>
      <c r="X5" s="82" t="s">
        <v>29</v>
      </c>
      <c r="Y5" s="82" t="s">
        <v>29</v>
      </c>
      <c r="Z5" s="82" t="s">
        <v>29</v>
      </c>
      <c r="AA5" s="82" t="s">
        <v>29</v>
      </c>
      <c r="AB5" s="82" t="s">
        <v>29</v>
      </c>
      <c r="AC5" s="82" t="s">
        <v>29</v>
      </c>
      <c r="AD5" s="82" t="s">
        <v>29</v>
      </c>
      <c r="AE5" s="82" t="s">
        <v>29</v>
      </c>
      <c r="AF5" s="82" t="s">
        <v>29</v>
      </c>
      <c r="AG5" s="82" t="s">
        <v>29</v>
      </c>
      <c r="AH5" s="82" t="s">
        <v>29</v>
      </c>
      <c r="AI5" s="82" t="s">
        <v>29</v>
      </c>
      <c r="AJ5" s="82" t="s">
        <v>29</v>
      </c>
      <c r="AK5" s="82" t="s">
        <v>29</v>
      </c>
      <c r="AL5" s="82" t="s">
        <v>29</v>
      </c>
      <c r="AM5" s="82" t="s">
        <v>29</v>
      </c>
      <c r="AN5" s="82" t="s">
        <v>29</v>
      </c>
      <c r="AO5" s="82" t="s">
        <v>29</v>
      </c>
      <c r="AP5" s="82" t="s">
        <v>29</v>
      </c>
      <c r="AQ5" s="82" t="s">
        <v>29</v>
      </c>
      <c r="AR5" s="82" t="s">
        <v>29</v>
      </c>
      <c r="AS5" s="82" t="s">
        <v>29</v>
      </c>
      <c r="AT5" s="82" t="s">
        <v>29</v>
      </c>
      <c r="AU5" s="82" t="s">
        <v>29</v>
      </c>
      <c r="AV5" s="82" t="s">
        <v>29</v>
      </c>
      <c r="AW5" s="82" t="s">
        <v>29</v>
      </c>
      <c r="AX5" s="82" t="s">
        <v>29</v>
      </c>
      <c r="AY5" s="82" t="s">
        <v>29</v>
      </c>
      <c r="AZ5" s="82" t="s">
        <v>29</v>
      </c>
      <c r="BA5" s="82" t="s">
        <v>29</v>
      </c>
      <c r="BB5" s="82" t="s">
        <v>29</v>
      </c>
      <c r="BC5" s="82" t="s">
        <v>29</v>
      </c>
      <c r="BD5" s="83">
        <f t="shared" ref="BD5:BD15" si="2">COUNTIF(F5:BC5,"&gt;=0")</f>
        <v>12</v>
      </c>
      <c r="BE5" s="84">
        <f t="shared" ref="BE5:BE15" si="3">COUNTIF(F5:BC5, "1")</f>
        <v>5</v>
      </c>
      <c r="BF5" s="85">
        <f t="shared" ref="BF5:BF15" si="4">BE5/BD5</f>
        <v>0.4166666667</v>
      </c>
      <c r="BG5" s="86">
        <f t="shared" ref="BG5:BG15" si="5">COUNTIF(F5:Q5, "1")</f>
        <v>4</v>
      </c>
      <c r="BH5" s="86">
        <f t="shared" ref="BH5:BH15" si="6">COUNTIF(F5:Q5, "0")</f>
        <v>6</v>
      </c>
      <c r="BI5" s="87">
        <f t="shared" ref="BI5:BI15" si="7">(BG5*10)/(BG5+BH5)</f>
        <v>4</v>
      </c>
      <c r="BJ5" s="88"/>
      <c r="BK5" s="88"/>
      <c r="BL5" s="88"/>
      <c r="BM5" s="89">
        <f t="shared" ref="BM5:BM15" si="8">SUM(BJ5:BL5)/3</f>
        <v>0</v>
      </c>
      <c r="BN5" s="88"/>
      <c r="BO5" s="88"/>
      <c r="BP5" s="88"/>
      <c r="BQ5" s="89">
        <f t="shared" ref="BQ5:BQ15" si="9">SUM(BN5:BP5)/3</f>
        <v>0</v>
      </c>
      <c r="BR5" s="90">
        <f t="shared" ref="BR5:BR15" si="10">(BI5*0.1)+(BM5*0.3)+(BQ5*0.6)</f>
        <v>0.4</v>
      </c>
      <c r="BS5" s="86">
        <f t="shared" ref="BS5:BS15" si="11">COUNTIF(R5:AC5, "1")</f>
        <v>1</v>
      </c>
      <c r="BT5" s="86">
        <f t="shared" ref="BT5:BT15" si="12">COUNTIF(R5:AC5, "0")</f>
        <v>1</v>
      </c>
      <c r="BU5" s="87">
        <f t="shared" ref="BU5:BU15" si="13">(BS5*10)/(BS5+BT5)</f>
        <v>5</v>
      </c>
      <c r="BV5" s="88"/>
      <c r="BW5" s="88"/>
      <c r="BX5" s="88"/>
      <c r="BY5" s="89">
        <f t="shared" ref="BY5:BY15" si="14">SUM(BV5:BX5)/3</f>
        <v>0</v>
      </c>
      <c r="BZ5" s="91">
        <v>7.6</v>
      </c>
      <c r="CA5" s="91"/>
      <c r="CB5" s="91"/>
      <c r="CC5" s="89">
        <f t="shared" ref="CC5:CC15" si="15">SUM(BZ5:CB5)/3</f>
        <v>2.533333333</v>
      </c>
      <c r="CD5" s="90">
        <f t="shared" ref="CD5:CD15" si="16">(BU5*0.1)+(BY5*0.3)+(CC5*0.6)</f>
        <v>2.02</v>
      </c>
      <c r="CE5" s="86">
        <f t="shared" ref="CE5:CE15" si="17">COUNTIF(AD5:AO5, "1")</f>
        <v>0</v>
      </c>
      <c r="CF5" s="86">
        <f t="shared" ref="CF5:CF15" si="18">COUNTIF(AD5:AO5, "0")</f>
        <v>0</v>
      </c>
      <c r="CG5" s="92" t="str">
        <f t="shared" ref="CG5:CG15" si="19">(CE5*10)/(CE5+CF5)</f>
        <v>#DIV/0!</v>
      </c>
      <c r="CH5" s="93"/>
      <c r="CI5" s="94"/>
      <c r="CJ5" s="94"/>
      <c r="CK5" s="89">
        <f t="shared" ref="CK5:CK15" si="20">SUM(CH5:CJ5)/3</f>
        <v>0</v>
      </c>
      <c r="CL5" s="88"/>
      <c r="CM5" s="88"/>
      <c r="CN5" s="88"/>
      <c r="CO5" s="89">
        <f t="shared" ref="CO5:CO15" si="21">SUM(CL5:CN5)/3</f>
        <v>0</v>
      </c>
      <c r="CP5" s="95" t="str">
        <f t="shared" ref="CP5:CP15" si="22">(CG5*0.1)+(CK5*0.3)+(CO5*0.6)</f>
        <v>#DIV/0!</v>
      </c>
      <c r="CQ5" s="86">
        <f t="shared" ref="CQ5:CQ15" si="23">COUNTIF(AP5:BC5, "1")</f>
        <v>0</v>
      </c>
      <c r="CR5" s="86">
        <f t="shared" ref="CR5:CR15" si="24">COUNTIF(AP5:BC5, "0")</f>
        <v>0</v>
      </c>
      <c r="CS5" s="92" t="str">
        <f t="shared" ref="CS5:CS15" si="25">(CQ5*10)/(CQ5+CR5)</f>
        <v>#DIV/0!</v>
      </c>
      <c r="CT5" s="93"/>
      <c r="CU5" s="94"/>
      <c r="CV5" s="94"/>
      <c r="CW5" s="89">
        <f t="shared" ref="CW5:CW15" si="26">SUM(CT5:CV5)/3</f>
        <v>0</v>
      </c>
      <c r="CX5" s="96">
        <v>8.0</v>
      </c>
      <c r="CY5" s="94"/>
      <c r="CZ5" s="94"/>
      <c r="DA5" s="89">
        <f t="shared" ref="DA5:DA15" si="27">SUM(CX5:CZ5)/3</f>
        <v>2.666666667</v>
      </c>
      <c r="DB5" s="95" t="str">
        <f t="shared" ref="DB5:DB15" si="28">(CS5*0.1)+(CW5*0.3)+(DA5*0.6)</f>
        <v>#DIV/0!</v>
      </c>
    </row>
    <row r="6">
      <c r="A6" s="73">
        <v>2.0</v>
      </c>
      <c r="B6" s="97" t="s">
        <v>30</v>
      </c>
      <c r="C6" s="75">
        <v>16.0</v>
      </c>
      <c r="D6" s="76">
        <v>45793.0</v>
      </c>
      <c r="E6" s="98">
        <v>46157.0</v>
      </c>
      <c r="F6" s="99">
        <v>1.0</v>
      </c>
      <c r="G6" s="79">
        <v>1.0</v>
      </c>
      <c r="H6" s="79">
        <v>1.0</v>
      </c>
      <c r="I6" s="79">
        <v>1.0</v>
      </c>
      <c r="J6" s="79">
        <v>0.0</v>
      </c>
      <c r="K6" s="79">
        <v>1.0</v>
      </c>
      <c r="L6" s="79">
        <v>1.0</v>
      </c>
      <c r="M6" s="79">
        <v>1.0</v>
      </c>
      <c r="N6" s="79">
        <v>1.0</v>
      </c>
      <c r="O6" s="80"/>
      <c r="P6" s="80"/>
      <c r="Q6" s="81">
        <v>1.0</v>
      </c>
      <c r="R6" s="80"/>
      <c r="S6" s="81">
        <v>1.0</v>
      </c>
      <c r="T6" s="81">
        <v>1.0</v>
      </c>
      <c r="U6" s="100" t="s">
        <v>29</v>
      </c>
      <c r="V6" s="100" t="s">
        <v>29</v>
      </c>
      <c r="W6" s="100" t="s">
        <v>29</v>
      </c>
      <c r="X6" s="100" t="s">
        <v>29</v>
      </c>
      <c r="Y6" s="100" t="s">
        <v>29</v>
      </c>
      <c r="Z6" s="100" t="s">
        <v>29</v>
      </c>
      <c r="AA6" s="100" t="s">
        <v>29</v>
      </c>
      <c r="AB6" s="100" t="s">
        <v>29</v>
      </c>
      <c r="AC6" s="100" t="s">
        <v>29</v>
      </c>
      <c r="AD6" s="100" t="s">
        <v>29</v>
      </c>
      <c r="AE6" s="100" t="s">
        <v>29</v>
      </c>
      <c r="AF6" s="100" t="s">
        <v>29</v>
      </c>
      <c r="AG6" s="100" t="s">
        <v>29</v>
      </c>
      <c r="AH6" s="100" t="s">
        <v>29</v>
      </c>
      <c r="AI6" s="100" t="s">
        <v>29</v>
      </c>
      <c r="AJ6" s="100" t="s">
        <v>29</v>
      </c>
      <c r="AK6" s="100" t="s">
        <v>29</v>
      </c>
      <c r="AL6" s="100" t="s">
        <v>29</v>
      </c>
      <c r="AM6" s="100" t="s">
        <v>29</v>
      </c>
      <c r="AN6" s="100" t="s">
        <v>29</v>
      </c>
      <c r="AO6" s="100" t="s">
        <v>29</v>
      </c>
      <c r="AP6" s="100" t="s">
        <v>29</v>
      </c>
      <c r="AQ6" s="100" t="s">
        <v>29</v>
      </c>
      <c r="AR6" s="100" t="s">
        <v>29</v>
      </c>
      <c r="AS6" s="100" t="s">
        <v>29</v>
      </c>
      <c r="AT6" s="100" t="s">
        <v>29</v>
      </c>
      <c r="AU6" s="100" t="s">
        <v>29</v>
      </c>
      <c r="AV6" s="100" t="s">
        <v>29</v>
      </c>
      <c r="AW6" s="100" t="s">
        <v>29</v>
      </c>
      <c r="AX6" s="100" t="s">
        <v>29</v>
      </c>
      <c r="AY6" s="100" t="s">
        <v>29</v>
      </c>
      <c r="AZ6" s="100" t="s">
        <v>29</v>
      </c>
      <c r="BA6" s="100" t="s">
        <v>29</v>
      </c>
      <c r="BB6" s="100" t="s">
        <v>29</v>
      </c>
      <c r="BC6" s="100" t="s">
        <v>29</v>
      </c>
      <c r="BD6" s="83">
        <f t="shared" si="2"/>
        <v>12</v>
      </c>
      <c r="BE6" s="84">
        <f t="shared" si="3"/>
        <v>11</v>
      </c>
      <c r="BF6" s="85">
        <f t="shared" si="4"/>
        <v>0.9166666667</v>
      </c>
      <c r="BG6" s="101">
        <f t="shared" si="5"/>
        <v>9</v>
      </c>
      <c r="BH6" s="101">
        <f t="shared" si="6"/>
        <v>1</v>
      </c>
      <c r="BI6" s="87">
        <f t="shared" si="7"/>
        <v>9</v>
      </c>
      <c r="BJ6" s="102"/>
      <c r="BK6" s="102"/>
      <c r="BL6" s="102"/>
      <c r="BM6" s="103">
        <f t="shared" si="8"/>
        <v>0</v>
      </c>
      <c r="BN6" s="102"/>
      <c r="BO6" s="102"/>
      <c r="BP6" s="102"/>
      <c r="BQ6" s="103">
        <f t="shared" si="9"/>
        <v>0</v>
      </c>
      <c r="BR6" s="90">
        <f t="shared" si="10"/>
        <v>0.9</v>
      </c>
      <c r="BS6" s="86">
        <f t="shared" si="11"/>
        <v>2</v>
      </c>
      <c r="BT6" s="86">
        <f t="shared" si="12"/>
        <v>0</v>
      </c>
      <c r="BU6" s="87">
        <f t="shared" si="13"/>
        <v>10</v>
      </c>
      <c r="BV6" s="102"/>
      <c r="BW6" s="102"/>
      <c r="BX6" s="102"/>
      <c r="BY6" s="103">
        <f t="shared" si="14"/>
        <v>0</v>
      </c>
      <c r="BZ6" s="104">
        <v>7.7</v>
      </c>
      <c r="CA6" s="102"/>
      <c r="CB6" s="102"/>
      <c r="CC6" s="103">
        <f t="shared" si="15"/>
        <v>2.566666667</v>
      </c>
      <c r="CD6" s="90">
        <f t="shared" si="16"/>
        <v>2.54</v>
      </c>
      <c r="CE6" s="86">
        <f t="shared" si="17"/>
        <v>0</v>
      </c>
      <c r="CF6" s="86">
        <f t="shared" si="18"/>
        <v>0</v>
      </c>
      <c r="CG6" s="92" t="str">
        <f t="shared" si="19"/>
        <v>#DIV/0!</v>
      </c>
      <c r="CH6" s="93"/>
      <c r="CI6" s="94"/>
      <c r="CJ6" s="94"/>
      <c r="CK6" s="103">
        <f t="shared" si="20"/>
        <v>0</v>
      </c>
      <c r="CL6" s="102"/>
      <c r="CM6" s="102"/>
      <c r="CN6" s="102"/>
      <c r="CO6" s="103">
        <f t="shared" si="21"/>
        <v>0</v>
      </c>
      <c r="CP6" s="95" t="str">
        <f t="shared" si="22"/>
        <v>#DIV/0!</v>
      </c>
      <c r="CQ6" s="86">
        <f t="shared" si="23"/>
        <v>0</v>
      </c>
      <c r="CR6" s="86">
        <f t="shared" si="24"/>
        <v>0</v>
      </c>
      <c r="CS6" s="92" t="str">
        <f t="shared" si="25"/>
        <v>#DIV/0!</v>
      </c>
      <c r="CT6" s="93"/>
      <c r="CU6" s="94"/>
      <c r="CV6" s="94"/>
      <c r="CW6" s="103">
        <f t="shared" si="26"/>
        <v>0</v>
      </c>
      <c r="CX6" s="96">
        <v>4.6</v>
      </c>
      <c r="CY6" s="94"/>
      <c r="CZ6" s="94"/>
      <c r="DA6" s="103">
        <f t="shared" si="27"/>
        <v>1.533333333</v>
      </c>
      <c r="DB6" s="95" t="str">
        <f t="shared" si="28"/>
        <v>#DIV/0!</v>
      </c>
    </row>
    <row r="7">
      <c r="A7" s="73">
        <v>3.0</v>
      </c>
      <c r="B7" s="74" t="s">
        <v>31</v>
      </c>
      <c r="C7" s="75">
        <v>12.0</v>
      </c>
      <c r="D7" s="76">
        <v>46057.0</v>
      </c>
      <c r="E7" s="98">
        <v>46391.0</v>
      </c>
      <c r="F7" s="105" t="s">
        <v>29</v>
      </c>
      <c r="G7" s="106"/>
      <c r="H7" s="106"/>
      <c r="I7" s="79">
        <v>1.0</v>
      </c>
      <c r="J7" s="79">
        <v>1.0</v>
      </c>
      <c r="K7" s="79">
        <v>0.0</v>
      </c>
      <c r="L7" s="79">
        <v>1.0</v>
      </c>
      <c r="M7" s="79">
        <v>1.0</v>
      </c>
      <c r="N7" s="79">
        <v>1.0</v>
      </c>
      <c r="O7" s="80"/>
      <c r="P7" s="80"/>
      <c r="Q7" s="81">
        <v>1.0</v>
      </c>
      <c r="R7" s="80"/>
      <c r="S7" s="81">
        <v>0.0</v>
      </c>
      <c r="T7" s="81">
        <v>0.0</v>
      </c>
      <c r="U7" s="100" t="s">
        <v>29</v>
      </c>
      <c r="V7" s="100" t="s">
        <v>29</v>
      </c>
      <c r="W7" s="100" t="s">
        <v>29</v>
      </c>
      <c r="X7" s="100" t="s">
        <v>29</v>
      </c>
      <c r="Y7" s="100" t="s">
        <v>29</v>
      </c>
      <c r="Z7" s="100" t="s">
        <v>29</v>
      </c>
      <c r="AA7" s="100" t="s">
        <v>29</v>
      </c>
      <c r="AB7" s="100" t="s">
        <v>29</v>
      </c>
      <c r="AC7" s="100" t="s">
        <v>29</v>
      </c>
      <c r="AD7" s="100" t="s">
        <v>29</v>
      </c>
      <c r="AE7" s="100" t="s">
        <v>29</v>
      </c>
      <c r="AF7" s="100" t="s">
        <v>29</v>
      </c>
      <c r="AG7" s="100" t="s">
        <v>29</v>
      </c>
      <c r="AH7" s="100" t="s">
        <v>29</v>
      </c>
      <c r="AI7" s="100" t="s">
        <v>29</v>
      </c>
      <c r="AJ7" s="100" t="s">
        <v>29</v>
      </c>
      <c r="AK7" s="100" t="s">
        <v>29</v>
      </c>
      <c r="AL7" s="100" t="s">
        <v>29</v>
      </c>
      <c r="AM7" s="100" t="s">
        <v>29</v>
      </c>
      <c r="AN7" s="100" t="s">
        <v>29</v>
      </c>
      <c r="AO7" s="100" t="s">
        <v>29</v>
      </c>
      <c r="AP7" s="100" t="s">
        <v>29</v>
      </c>
      <c r="AQ7" s="100" t="s">
        <v>29</v>
      </c>
      <c r="AR7" s="100" t="s">
        <v>29</v>
      </c>
      <c r="AS7" s="100" t="s">
        <v>29</v>
      </c>
      <c r="AT7" s="100" t="s">
        <v>29</v>
      </c>
      <c r="AU7" s="100" t="s">
        <v>29</v>
      </c>
      <c r="AV7" s="100" t="s">
        <v>29</v>
      </c>
      <c r="AW7" s="100" t="s">
        <v>29</v>
      </c>
      <c r="AX7" s="100" t="s">
        <v>29</v>
      </c>
      <c r="AY7" s="100" t="s">
        <v>29</v>
      </c>
      <c r="AZ7" s="100" t="s">
        <v>29</v>
      </c>
      <c r="BA7" s="100" t="s">
        <v>29</v>
      </c>
      <c r="BB7" s="107" t="s">
        <v>29</v>
      </c>
      <c r="BC7" s="100" t="s">
        <v>29</v>
      </c>
      <c r="BD7" s="83">
        <f t="shared" si="2"/>
        <v>9</v>
      </c>
      <c r="BE7" s="84">
        <f t="shared" si="3"/>
        <v>6</v>
      </c>
      <c r="BF7" s="85">
        <f t="shared" si="4"/>
        <v>0.6666666667</v>
      </c>
      <c r="BG7" s="101">
        <f t="shared" si="5"/>
        <v>6</v>
      </c>
      <c r="BH7" s="101">
        <f t="shared" si="6"/>
        <v>1</v>
      </c>
      <c r="BI7" s="87">
        <f t="shared" si="7"/>
        <v>8.571428571</v>
      </c>
      <c r="BJ7" s="102"/>
      <c r="BK7" s="102"/>
      <c r="BL7" s="102"/>
      <c r="BM7" s="103">
        <f t="shared" si="8"/>
        <v>0</v>
      </c>
      <c r="BN7" s="102"/>
      <c r="BO7" s="102"/>
      <c r="BP7" s="102"/>
      <c r="BQ7" s="103">
        <f t="shared" si="9"/>
        <v>0</v>
      </c>
      <c r="BR7" s="90">
        <f t="shared" si="10"/>
        <v>0.8571428571</v>
      </c>
      <c r="BS7" s="86">
        <f t="shared" si="11"/>
        <v>0</v>
      </c>
      <c r="BT7" s="86">
        <f t="shared" si="12"/>
        <v>2</v>
      </c>
      <c r="BU7" s="87">
        <f t="shared" si="13"/>
        <v>0</v>
      </c>
      <c r="BV7" s="102"/>
      <c r="BW7" s="102"/>
      <c r="BX7" s="102"/>
      <c r="BY7" s="103">
        <f t="shared" si="14"/>
        <v>0</v>
      </c>
      <c r="BZ7" s="102"/>
      <c r="CA7" s="102"/>
      <c r="CB7" s="102"/>
      <c r="CC7" s="103">
        <f t="shared" si="15"/>
        <v>0</v>
      </c>
      <c r="CD7" s="90">
        <f t="shared" si="16"/>
        <v>0</v>
      </c>
      <c r="CE7" s="86">
        <f t="shared" si="17"/>
        <v>0</v>
      </c>
      <c r="CF7" s="86">
        <f t="shared" si="18"/>
        <v>0</v>
      </c>
      <c r="CG7" s="92" t="str">
        <f t="shared" si="19"/>
        <v>#DIV/0!</v>
      </c>
      <c r="CH7" s="93"/>
      <c r="CI7" s="94"/>
      <c r="CJ7" s="94"/>
      <c r="CK7" s="103">
        <f t="shared" si="20"/>
        <v>0</v>
      </c>
      <c r="CL7" s="102"/>
      <c r="CM7" s="102"/>
      <c r="CN7" s="102"/>
      <c r="CO7" s="103">
        <f t="shared" si="21"/>
        <v>0</v>
      </c>
      <c r="CP7" s="95" t="str">
        <f t="shared" si="22"/>
        <v>#DIV/0!</v>
      </c>
      <c r="CQ7" s="86">
        <f t="shared" si="23"/>
        <v>0</v>
      </c>
      <c r="CR7" s="86">
        <f t="shared" si="24"/>
        <v>0</v>
      </c>
      <c r="CS7" s="92" t="str">
        <f t="shared" si="25"/>
        <v>#DIV/0!</v>
      </c>
      <c r="CT7" s="93"/>
      <c r="CU7" s="94"/>
      <c r="CV7" s="94"/>
      <c r="CW7" s="103">
        <f t="shared" si="26"/>
        <v>0</v>
      </c>
      <c r="CX7" s="93"/>
      <c r="CY7" s="94"/>
      <c r="CZ7" s="94"/>
      <c r="DA7" s="103">
        <f t="shared" si="27"/>
        <v>0</v>
      </c>
      <c r="DB7" s="95" t="str">
        <f t="shared" si="28"/>
        <v>#DIV/0!</v>
      </c>
    </row>
    <row r="8">
      <c r="A8" s="108">
        <v>4.0</v>
      </c>
      <c r="B8" s="74" t="s">
        <v>32</v>
      </c>
      <c r="C8" s="75">
        <v>11.0</v>
      </c>
      <c r="D8" s="109">
        <v>45833.0</v>
      </c>
      <c r="E8" s="109">
        <v>46198.0</v>
      </c>
      <c r="F8" s="99">
        <v>1.0</v>
      </c>
      <c r="G8" s="79">
        <v>0.0</v>
      </c>
      <c r="H8" s="79">
        <v>1.0</v>
      </c>
      <c r="I8" s="79">
        <v>1.0</v>
      </c>
      <c r="J8" s="79">
        <v>1.0</v>
      </c>
      <c r="K8" s="79">
        <v>1.0</v>
      </c>
      <c r="L8" s="79">
        <v>1.0</v>
      </c>
      <c r="M8" s="79">
        <v>1.0</v>
      </c>
      <c r="N8" s="79">
        <v>1.0</v>
      </c>
      <c r="O8" s="80"/>
      <c r="P8" s="80"/>
      <c r="Q8" s="81">
        <v>0.0</v>
      </c>
      <c r="R8" s="80"/>
      <c r="S8" s="81">
        <v>0.0</v>
      </c>
      <c r="T8" s="81" t="s">
        <v>29</v>
      </c>
      <c r="U8" s="100" t="s">
        <v>29</v>
      </c>
      <c r="V8" s="100" t="s">
        <v>29</v>
      </c>
      <c r="W8" s="100" t="s">
        <v>29</v>
      </c>
      <c r="X8" s="100" t="s">
        <v>29</v>
      </c>
      <c r="Y8" s="100" t="s">
        <v>29</v>
      </c>
      <c r="Z8" s="100" t="s">
        <v>29</v>
      </c>
      <c r="AA8" s="100" t="s">
        <v>29</v>
      </c>
      <c r="AB8" s="100" t="s">
        <v>29</v>
      </c>
      <c r="AC8" s="100" t="s">
        <v>29</v>
      </c>
      <c r="AD8" s="100" t="s">
        <v>29</v>
      </c>
      <c r="AE8" s="100" t="s">
        <v>29</v>
      </c>
      <c r="AF8" s="100" t="s">
        <v>29</v>
      </c>
      <c r="AG8" s="100" t="s">
        <v>29</v>
      </c>
      <c r="AH8" s="100" t="s">
        <v>29</v>
      </c>
      <c r="AI8" s="100" t="s">
        <v>29</v>
      </c>
      <c r="AJ8" s="100" t="s">
        <v>29</v>
      </c>
      <c r="AK8" s="100" t="s">
        <v>29</v>
      </c>
      <c r="AL8" s="100" t="s">
        <v>29</v>
      </c>
      <c r="AM8" s="100" t="s">
        <v>29</v>
      </c>
      <c r="AN8" s="100" t="s">
        <v>29</v>
      </c>
      <c r="AO8" s="100" t="s">
        <v>29</v>
      </c>
      <c r="AP8" s="100" t="s">
        <v>29</v>
      </c>
      <c r="AQ8" s="100" t="s">
        <v>29</v>
      </c>
      <c r="AR8" s="100" t="s">
        <v>29</v>
      </c>
      <c r="AS8" s="100" t="s">
        <v>29</v>
      </c>
      <c r="AT8" s="100" t="s">
        <v>29</v>
      </c>
      <c r="AU8" s="100" t="s">
        <v>29</v>
      </c>
      <c r="AV8" s="100" t="s">
        <v>29</v>
      </c>
      <c r="AW8" s="100" t="s">
        <v>29</v>
      </c>
      <c r="AX8" s="100" t="s">
        <v>29</v>
      </c>
      <c r="AY8" s="100" t="s">
        <v>29</v>
      </c>
      <c r="AZ8" s="100" t="s">
        <v>29</v>
      </c>
      <c r="BA8" s="100" t="s">
        <v>29</v>
      </c>
      <c r="BB8" s="100" t="s">
        <v>29</v>
      </c>
      <c r="BC8" s="100" t="s">
        <v>29</v>
      </c>
      <c r="BD8" s="83">
        <f t="shared" si="2"/>
        <v>11</v>
      </c>
      <c r="BE8" s="84">
        <f t="shared" si="3"/>
        <v>8</v>
      </c>
      <c r="BF8" s="85">
        <f t="shared" si="4"/>
        <v>0.7272727273</v>
      </c>
      <c r="BG8" s="101">
        <f t="shared" si="5"/>
        <v>8</v>
      </c>
      <c r="BH8" s="101">
        <f t="shared" si="6"/>
        <v>2</v>
      </c>
      <c r="BI8" s="87">
        <f t="shared" si="7"/>
        <v>8</v>
      </c>
      <c r="BJ8" s="110"/>
      <c r="BK8" s="110"/>
      <c r="BL8" s="110"/>
      <c r="BM8" s="103">
        <f t="shared" si="8"/>
        <v>0</v>
      </c>
      <c r="BN8" s="110"/>
      <c r="BO8" s="110"/>
      <c r="BP8" s="110"/>
      <c r="BQ8" s="103">
        <f t="shared" si="9"/>
        <v>0</v>
      </c>
      <c r="BR8" s="90">
        <f t="shared" si="10"/>
        <v>0.8</v>
      </c>
      <c r="BS8" s="86">
        <f t="shared" si="11"/>
        <v>0</v>
      </c>
      <c r="BT8" s="86">
        <f t="shared" si="12"/>
        <v>1</v>
      </c>
      <c r="BU8" s="87">
        <f t="shared" si="13"/>
        <v>0</v>
      </c>
      <c r="BV8" s="110"/>
      <c r="BW8" s="110"/>
      <c r="BX8" s="110"/>
      <c r="BY8" s="103">
        <f t="shared" si="14"/>
        <v>0</v>
      </c>
      <c r="BZ8" s="111">
        <v>7.1</v>
      </c>
      <c r="CA8" s="110"/>
      <c r="CB8" s="110"/>
      <c r="CC8" s="103">
        <f t="shared" si="15"/>
        <v>2.366666667</v>
      </c>
      <c r="CD8" s="90">
        <f t="shared" si="16"/>
        <v>1.42</v>
      </c>
      <c r="CE8" s="86">
        <f t="shared" si="17"/>
        <v>0</v>
      </c>
      <c r="CF8" s="86">
        <f t="shared" si="18"/>
        <v>0</v>
      </c>
      <c r="CG8" s="92" t="str">
        <f t="shared" si="19"/>
        <v>#DIV/0!</v>
      </c>
      <c r="CH8" s="93"/>
      <c r="CI8" s="94"/>
      <c r="CJ8" s="94"/>
      <c r="CK8" s="103">
        <f t="shared" si="20"/>
        <v>0</v>
      </c>
      <c r="CL8" s="110"/>
      <c r="CM8" s="110"/>
      <c r="CN8" s="110"/>
      <c r="CO8" s="103">
        <f t="shared" si="21"/>
        <v>0</v>
      </c>
      <c r="CP8" s="95" t="str">
        <f t="shared" si="22"/>
        <v>#DIV/0!</v>
      </c>
      <c r="CQ8" s="86">
        <f t="shared" si="23"/>
        <v>0</v>
      </c>
      <c r="CR8" s="86">
        <f t="shared" si="24"/>
        <v>0</v>
      </c>
      <c r="CS8" s="92" t="str">
        <f t="shared" si="25"/>
        <v>#DIV/0!</v>
      </c>
      <c r="CT8" s="93"/>
      <c r="CU8" s="94"/>
      <c r="CV8" s="94"/>
      <c r="CW8" s="103">
        <f t="shared" si="26"/>
        <v>0</v>
      </c>
      <c r="CX8" s="96">
        <v>3.8</v>
      </c>
      <c r="CY8" s="94"/>
      <c r="CZ8" s="94"/>
      <c r="DA8" s="103">
        <f t="shared" si="27"/>
        <v>1.266666667</v>
      </c>
      <c r="DB8" s="95" t="str">
        <f t="shared" si="28"/>
        <v>#DIV/0!</v>
      </c>
    </row>
    <row r="9">
      <c r="A9" s="73">
        <v>5.0</v>
      </c>
      <c r="B9" s="74" t="s">
        <v>33</v>
      </c>
      <c r="C9" s="75">
        <v>13.0</v>
      </c>
      <c r="D9" s="76">
        <v>45848.0</v>
      </c>
      <c r="E9" s="76">
        <v>46213.0</v>
      </c>
      <c r="F9" s="99">
        <v>1.0</v>
      </c>
      <c r="G9" s="79">
        <v>1.0</v>
      </c>
      <c r="H9" s="79">
        <v>1.0</v>
      </c>
      <c r="I9" s="79">
        <v>1.0</v>
      </c>
      <c r="J9" s="79">
        <v>1.0</v>
      </c>
      <c r="K9" s="79">
        <v>1.0</v>
      </c>
      <c r="L9" s="79">
        <v>1.0</v>
      </c>
      <c r="M9" s="79">
        <v>1.0</v>
      </c>
      <c r="N9" s="79">
        <v>1.0</v>
      </c>
      <c r="O9" s="80"/>
      <c r="P9" s="80"/>
      <c r="Q9" s="81">
        <v>1.0</v>
      </c>
      <c r="R9" s="80"/>
      <c r="S9" s="81">
        <v>1.0</v>
      </c>
      <c r="T9" s="81">
        <v>1.0</v>
      </c>
      <c r="U9" s="100" t="s">
        <v>29</v>
      </c>
      <c r="V9" s="100" t="s">
        <v>29</v>
      </c>
      <c r="W9" s="100" t="s">
        <v>29</v>
      </c>
      <c r="X9" s="100" t="s">
        <v>29</v>
      </c>
      <c r="Y9" s="100" t="s">
        <v>29</v>
      </c>
      <c r="Z9" s="100" t="s">
        <v>29</v>
      </c>
      <c r="AA9" s="100" t="s">
        <v>29</v>
      </c>
      <c r="AB9" s="100" t="s">
        <v>29</v>
      </c>
      <c r="AC9" s="100" t="s">
        <v>29</v>
      </c>
      <c r="AD9" s="100" t="s">
        <v>29</v>
      </c>
      <c r="AE9" s="100" t="s">
        <v>29</v>
      </c>
      <c r="AF9" s="100" t="s">
        <v>29</v>
      </c>
      <c r="AG9" s="100" t="s">
        <v>29</v>
      </c>
      <c r="AH9" s="100" t="s">
        <v>29</v>
      </c>
      <c r="AI9" s="100" t="s">
        <v>29</v>
      </c>
      <c r="AJ9" s="100" t="s">
        <v>29</v>
      </c>
      <c r="AK9" s="100" t="s">
        <v>29</v>
      </c>
      <c r="AL9" s="100" t="s">
        <v>29</v>
      </c>
      <c r="AM9" s="100" t="s">
        <v>29</v>
      </c>
      <c r="AN9" s="100" t="s">
        <v>29</v>
      </c>
      <c r="AO9" s="100" t="s">
        <v>29</v>
      </c>
      <c r="AP9" s="100" t="s">
        <v>29</v>
      </c>
      <c r="AQ9" s="100" t="s">
        <v>29</v>
      </c>
      <c r="AR9" s="100" t="s">
        <v>29</v>
      </c>
      <c r="AS9" s="100" t="s">
        <v>29</v>
      </c>
      <c r="AT9" s="100" t="s">
        <v>29</v>
      </c>
      <c r="AU9" s="100" t="s">
        <v>29</v>
      </c>
      <c r="AV9" s="100" t="s">
        <v>29</v>
      </c>
      <c r="AW9" s="100" t="s">
        <v>29</v>
      </c>
      <c r="AX9" s="100" t="s">
        <v>29</v>
      </c>
      <c r="AY9" s="100" t="s">
        <v>29</v>
      </c>
      <c r="AZ9" s="100" t="s">
        <v>29</v>
      </c>
      <c r="BA9" s="100" t="s">
        <v>29</v>
      </c>
      <c r="BB9" s="100" t="s">
        <v>29</v>
      </c>
      <c r="BC9" s="100" t="s">
        <v>29</v>
      </c>
      <c r="BD9" s="83">
        <f t="shared" si="2"/>
        <v>12</v>
      </c>
      <c r="BE9" s="84">
        <f t="shared" si="3"/>
        <v>12</v>
      </c>
      <c r="BF9" s="85">
        <f t="shared" si="4"/>
        <v>1</v>
      </c>
      <c r="BG9" s="101">
        <f t="shared" si="5"/>
        <v>10</v>
      </c>
      <c r="BH9" s="101">
        <f t="shared" si="6"/>
        <v>0</v>
      </c>
      <c r="BI9" s="87">
        <f t="shared" si="7"/>
        <v>10</v>
      </c>
      <c r="BJ9" s="112"/>
      <c r="BK9" s="110"/>
      <c r="BL9" s="113"/>
      <c r="BM9" s="103">
        <f t="shared" si="8"/>
        <v>0</v>
      </c>
      <c r="BN9" s="110"/>
      <c r="BO9" s="102"/>
      <c r="BP9" s="110"/>
      <c r="BQ9" s="103">
        <f t="shared" si="9"/>
        <v>0</v>
      </c>
      <c r="BR9" s="90">
        <f t="shared" si="10"/>
        <v>1</v>
      </c>
      <c r="BS9" s="86">
        <f t="shared" si="11"/>
        <v>2</v>
      </c>
      <c r="BT9" s="86">
        <f t="shared" si="12"/>
        <v>0</v>
      </c>
      <c r="BU9" s="87">
        <f t="shared" si="13"/>
        <v>10</v>
      </c>
      <c r="BV9" s="110"/>
      <c r="BW9" s="102"/>
      <c r="BX9" s="110"/>
      <c r="BY9" s="103">
        <f t="shared" si="14"/>
        <v>0</v>
      </c>
      <c r="BZ9" s="114">
        <v>9.5</v>
      </c>
      <c r="CA9" s="102"/>
      <c r="CB9" s="113"/>
      <c r="CC9" s="103">
        <f t="shared" si="15"/>
        <v>3.166666667</v>
      </c>
      <c r="CD9" s="90">
        <f t="shared" si="16"/>
        <v>2.9</v>
      </c>
      <c r="CE9" s="86">
        <f t="shared" si="17"/>
        <v>0</v>
      </c>
      <c r="CF9" s="86">
        <f t="shared" si="18"/>
        <v>0</v>
      </c>
      <c r="CG9" s="92" t="str">
        <f t="shared" si="19"/>
        <v>#DIV/0!</v>
      </c>
      <c r="CH9" s="93"/>
      <c r="CI9" s="94"/>
      <c r="CJ9" s="94"/>
      <c r="CK9" s="103">
        <f t="shared" si="20"/>
        <v>0</v>
      </c>
      <c r="CL9" s="110"/>
      <c r="CM9" s="102"/>
      <c r="CN9" s="110"/>
      <c r="CO9" s="103">
        <f t="shared" si="21"/>
        <v>0</v>
      </c>
      <c r="CP9" s="95" t="str">
        <f t="shared" si="22"/>
        <v>#DIV/0!</v>
      </c>
      <c r="CQ9" s="86">
        <f t="shared" si="23"/>
        <v>0</v>
      </c>
      <c r="CR9" s="86">
        <f t="shared" si="24"/>
        <v>0</v>
      </c>
      <c r="CS9" s="92" t="str">
        <f t="shared" si="25"/>
        <v>#DIV/0!</v>
      </c>
      <c r="CT9" s="93"/>
      <c r="CU9" s="94"/>
      <c r="CV9" s="94"/>
      <c r="CW9" s="103">
        <f t="shared" si="26"/>
        <v>0</v>
      </c>
      <c r="CX9" s="96">
        <v>9.0</v>
      </c>
      <c r="CY9" s="94"/>
      <c r="CZ9" s="94"/>
      <c r="DA9" s="103">
        <f t="shared" si="27"/>
        <v>3</v>
      </c>
      <c r="DB9" s="95" t="str">
        <f t="shared" si="28"/>
        <v>#DIV/0!</v>
      </c>
    </row>
    <row r="10">
      <c r="A10" s="73">
        <v>6.0</v>
      </c>
      <c r="B10" s="74" t="s">
        <v>34</v>
      </c>
      <c r="C10" s="75">
        <v>14.0</v>
      </c>
      <c r="D10" s="109">
        <v>45645.0</v>
      </c>
      <c r="E10" s="77">
        <v>46010.0</v>
      </c>
      <c r="F10" s="106"/>
      <c r="G10" s="75">
        <v>1.0</v>
      </c>
      <c r="H10" s="75">
        <v>1.0</v>
      </c>
      <c r="I10" s="75">
        <v>1.0</v>
      </c>
      <c r="J10" s="75">
        <v>1.0</v>
      </c>
      <c r="K10" s="75">
        <v>1.0</v>
      </c>
      <c r="L10" s="75">
        <v>0.0</v>
      </c>
      <c r="M10" s="75">
        <v>1.0</v>
      </c>
      <c r="N10" s="75">
        <v>0.0</v>
      </c>
      <c r="O10" s="80"/>
      <c r="P10" s="80"/>
      <c r="Q10" s="81">
        <v>1.0</v>
      </c>
      <c r="R10" s="80"/>
      <c r="S10" s="81">
        <v>0.0</v>
      </c>
      <c r="T10" s="81">
        <v>1.0</v>
      </c>
      <c r="U10" s="100" t="s">
        <v>29</v>
      </c>
      <c r="V10" s="100" t="s">
        <v>29</v>
      </c>
      <c r="W10" s="100" t="s">
        <v>29</v>
      </c>
      <c r="X10" s="100" t="s">
        <v>29</v>
      </c>
      <c r="Y10" s="100" t="s">
        <v>29</v>
      </c>
      <c r="Z10" s="100" t="s">
        <v>29</v>
      </c>
      <c r="AA10" s="100" t="s">
        <v>29</v>
      </c>
      <c r="AB10" s="100" t="s">
        <v>29</v>
      </c>
      <c r="AC10" s="100" t="s">
        <v>29</v>
      </c>
      <c r="AD10" s="100" t="s">
        <v>29</v>
      </c>
      <c r="AE10" s="100" t="s">
        <v>29</v>
      </c>
      <c r="AF10" s="100" t="s">
        <v>29</v>
      </c>
      <c r="AG10" s="100" t="s">
        <v>29</v>
      </c>
      <c r="AH10" s="100" t="s">
        <v>29</v>
      </c>
      <c r="AI10" s="100" t="s">
        <v>29</v>
      </c>
      <c r="AJ10" s="100" t="s">
        <v>29</v>
      </c>
      <c r="AK10" s="100" t="s">
        <v>29</v>
      </c>
      <c r="AL10" s="100" t="s">
        <v>29</v>
      </c>
      <c r="AM10" s="100" t="s">
        <v>29</v>
      </c>
      <c r="AN10" s="100" t="s">
        <v>29</v>
      </c>
      <c r="AO10" s="100" t="s">
        <v>29</v>
      </c>
      <c r="AP10" s="100" t="s">
        <v>29</v>
      </c>
      <c r="AQ10" s="100" t="s">
        <v>29</v>
      </c>
      <c r="AR10" s="100" t="s">
        <v>29</v>
      </c>
      <c r="AS10" s="100" t="s">
        <v>29</v>
      </c>
      <c r="AT10" s="100" t="s">
        <v>29</v>
      </c>
      <c r="AU10" s="100" t="s">
        <v>29</v>
      </c>
      <c r="AV10" s="100" t="s">
        <v>29</v>
      </c>
      <c r="AW10" s="100" t="s">
        <v>29</v>
      </c>
      <c r="AX10" s="100" t="s">
        <v>29</v>
      </c>
      <c r="AY10" s="100" t="s">
        <v>29</v>
      </c>
      <c r="AZ10" s="100" t="s">
        <v>29</v>
      </c>
      <c r="BA10" s="100" t="s">
        <v>29</v>
      </c>
      <c r="BB10" s="100" t="s">
        <v>29</v>
      </c>
      <c r="BC10" s="100" t="s">
        <v>29</v>
      </c>
      <c r="BD10" s="83">
        <f t="shared" si="2"/>
        <v>11</v>
      </c>
      <c r="BE10" s="84">
        <f t="shared" si="3"/>
        <v>8</v>
      </c>
      <c r="BF10" s="85">
        <f t="shared" si="4"/>
        <v>0.7272727273</v>
      </c>
      <c r="BG10" s="101">
        <f t="shared" si="5"/>
        <v>7</v>
      </c>
      <c r="BH10" s="101">
        <f t="shared" si="6"/>
        <v>2</v>
      </c>
      <c r="BI10" s="87">
        <f t="shared" si="7"/>
        <v>7.777777778</v>
      </c>
      <c r="BJ10" s="115"/>
      <c r="BK10" s="116"/>
      <c r="BL10" s="117"/>
      <c r="BM10" s="103">
        <f t="shared" si="8"/>
        <v>0</v>
      </c>
      <c r="BN10" s="102"/>
      <c r="BO10" s="118"/>
      <c r="BP10" s="102"/>
      <c r="BQ10" s="103">
        <f t="shared" si="9"/>
        <v>0</v>
      </c>
      <c r="BR10" s="90">
        <f t="shared" si="10"/>
        <v>0.7777777778</v>
      </c>
      <c r="BS10" s="86">
        <f t="shared" si="11"/>
        <v>1</v>
      </c>
      <c r="BT10" s="86">
        <f t="shared" si="12"/>
        <v>1</v>
      </c>
      <c r="BU10" s="87">
        <f t="shared" si="13"/>
        <v>5</v>
      </c>
      <c r="BV10" s="102"/>
      <c r="BW10" s="116"/>
      <c r="BX10" s="102"/>
      <c r="BY10" s="103">
        <f t="shared" si="14"/>
        <v>0</v>
      </c>
      <c r="BZ10" s="115"/>
      <c r="CA10" s="116"/>
      <c r="CB10" s="117"/>
      <c r="CC10" s="103">
        <f t="shared" si="15"/>
        <v>0</v>
      </c>
      <c r="CD10" s="90">
        <f t="shared" si="16"/>
        <v>0.5</v>
      </c>
      <c r="CE10" s="86">
        <f t="shared" si="17"/>
        <v>0</v>
      </c>
      <c r="CF10" s="86">
        <f t="shared" si="18"/>
        <v>0</v>
      </c>
      <c r="CG10" s="92" t="str">
        <f t="shared" si="19"/>
        <v>#DIV/0!</v>
      </c>
      <c r="CH10" s="117"/>
      <c r="CI10" s="119"/>
      <c r="CJ10" s="120"/>
      <c r="CK10" s="103">
        <f t="shared" si="20"/>
        <v>0</v>
      </c>
      <c r="CL10" s="102"/>
      <c r="CM10" s="121"/>
      <c r="CN10" s="102"/>
      <c r="CO10" s="103">
        <f t="shared" si="21"/>
        <v>0</v>
      </c>
      <c r="CP10" s="95" t="str">
        <f t="shared" si="22"/>
        <v>#DIV/0!</v>
      </c>
      <c r="CQ10" s="86">
        <f t="shared" si="23"/>
        <v>0</v>
      </c>
      <c r="CR10" s="86">
        <f t="shared" si="24"/>
        <v>0</v>
      </c>
      <c r="CS10" s="92" t="str">
        <f t="shared" si="25"/>
        <v>#DIV/0!</v>
      </c>
      <c r="CT10" s="117"/>
      <c r="CU10" s="119"/>
      <c r="CV10" s="122">
        <v>4.2</v>
      </c>
      <c r="CW10" s="103">
        <f t="shared" si="26"/>
        <v>1.4</v>
      </c>
      <c r="CX10" s="117"/>
      <c r="CY10" s="123"/>
      <c r="CZ10" s="124"/>
      <c r="DA10" s="103">
        <f t="shared" si="27"/>
        <v>0</v>
      </c>
      <c r="DB10" s="95" t="str">
        <f t="shared" si="28"/>
        <v>#DIV/0!</v>
      </c>
    </row>
    <row r="11">
      <c r="A11" s="108">
        <v>7.0</v>
      </c>
      <c r="B11" s="74" t="s">
        <v>35</v>
      </c>
      <c r="C11" s="75">
        <v>13.0</v>
      </c>
      <c r="D11" s="76">
        <v>46021.0</v>
      </c>
      <c r="E11" s="125">
        <v>46386.0</v>
      </c>
      <c r="F11" s="99">
        <v>1.0</v>
      </c>
      <c r="G11" s="79">
        <v>1.0</v>
      </c>
      <c r="H11" s="79">
        <v>0.0</v>
      </c>
      <c r="I11" s="79">
        <v>0.0</v>
      </c>
      <c r="J11" s="79">
        <v>0.0</v>
      </c>
      <c r="K11" s="79">
        <v>1.0</v>
      </c>
      <c r="L11" s="79">
        <v>1.0</v>
      </c>
      <c r="M11" s="79">
        <v>1.0</v>
      </c>
      <c r="N11" s="79">
        <v>1.0</v>
      </c>
      <c r="O11" s="80"/>
      <c r="P11" s="80"/>
      <c r="Q11" s="81">
        <v>1.0</v>
      </c>
      <c r="R11" s="80"/>
      <c r="S11" s="81">
        <v>0.0</v>
      </c>
      <c r="T11" s="81">
        <v>0.0</v>
      </c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83">
        <f t="shared" si="2"/>
        <v>12</v>
      </c>
      <c r="BE11" s="84">
        <f t="shared" si="3"/>
        <v>7</v>
      </c>
      <c r="BF11" s="85">
        <f t="shared" si="4"/>
        <v>0.5833333333</v>
      </c>
      <c r="BG11" s="101">
        <f t="shared" si="5"/>
        <v>7</v>
      </c>
      <c r="BH11" s="101">
        <f t="shared" si="6"/>
        <v>3</v>
      </c>
      <c r="BI11" s="87">
        <f t="shared" si="7"/>
        <v>7</v>
      </c>
      <c r="BJ11" s="112"/>
      <c r="BK11" s="102"/>
      <c r="BL11" s="113"/>
      <c r="BM11" s="103">
        <f t="shared" si="8"/>
        <v>0</v>
      </c>
      <c r="BN11" s="110"/>
      <c r="BO11" s="102"/>
      <c r="BP11" s="110"/>
      <c r="BQ11" s="103">
        <f t="shared" si="9"/>
        <v>0</v>
      </c>
      <c r="BR11" s="90">
        <f t="shared" si="10"/>
        <v>0.7</v>
      </c>
      <c r="BS11" s="86">
        <f t="shared" si="11"/>
        <v>0</v>
      </c>
      <c r="BT11" s="86">
        <f t="shared" si="12"/>
        <v>2</v>
      </c>
      <c r="BU11" s="87">
        <f t="shared" si="13"/>
        <v>0</v>
      </c>
      <c r="BV11" s="110"/>
      <c r="BW11" s="110"/>
      <c r="BX11" s="110"/>
      <c r="BY11" s="103">
        <f t="shared" si="14"/>
        <v>0</v>
      </c>
      <c r="BZ11" s="114">
        <v>9.1</v>
      </c>
      <c r="CA11" s="102"/>
      <c r="CB11" s="113"/>
      <c r="CC11" s="103">
        <f t="shared" si="15"/>
        <v>3.033333333</v>
      </c>
      <c r="CD11" s="90">
        <f t="shared" si="16"/>
        <v>1.82</v>
      </c>
      <c r="CE11" s="86">
        <f t="shared" si="17"/>
        <v>0</v>
      </c>
      <c r="CF11" s="86">
        <f t="shared" si="18"/>
        <v>0</v>
      </c>
      <c r="CG11" s="92" t="str">
        <f t="shared" si="19"/>
        <v>#DIV/0!</v>
      </c>
      <c r="CH11" s="93"/>
      <c r="CI11" s="126"/>
      <c r="CJ11" s="126"/>
      <c r="CK11" s="103">
        <f t="shared" si="20"/>
        <v>0</v>
      </c>
      <c r="CL11" s="110"/>
      <c r="CM11" s="110"/>
      <c r="CN11" s="110"/>
      <c r="CO11" s="103">
        <f t="shared" si="21"/>
        <v>0</v>
      </c>
      <c r="CP11" s="95" t="str">
        <f t="shared" si="22"/>
        <v>#DIV/0!</v>
      </c>
      <c r="CQ11" s="86">
        <f t="shared" si="23"/>
        <v>0</v>
      </c>
      <c r="CR11" s="86">
        <f t="shared" si="24"/>
        <v>0</v>
      </c>
      <c r="CS11" s="92" t="str">
        <f t="shared" si="25"/>
        <v>#DIV/0!</v>
      </c>
      <c r="CT11" s="93"/>
      <c r="CU11" s="94"/>
      <c r="CV11" s="94"/>
      <c r="CW11" s="103">
        <f t="shared" si="26"/>
        <v>0</v>
      </c>
      <c r="CX11" s="93"/>
      <c r="CY11" s="94"/>
      <c r="CZ11" s="94"/>
      <c r="DA11" s="103">
        <f t="shared" si="27"/>
        <v>0</v>
      </c>
      <c r="DB11" s="95" t="str">
        <f t="shared" si="28"/>
        <v>#DIV/0!</v>
      </c>
    </row>
    <row r="12">
      <c r="A12" s="73">
        <v>8.0</v>
      </c>
      <c r="B12" s="74" t="s">
        <v>36</v>
      </c>
      <c r="C12" s="75">
        <v>20.0</v>
      </c>
      <c r="D12" s="76">
        <v>45793.0</v>
      </c>
      <c r="E12" s="76">
        <v>46153.0</v>
      </c>
      <c r="F12" s="78">
        <v>0.0</v>
      </c>
      <c r="G12" s="79">
        <v>0.0</v>
      </c>
      <c r="H12" s="79">
        <v>0.0</v>
      </c>
      <c r="I12" s="79">
        <v>1.0</v>
      </c>
      <c r="J12" s="79">
        <v>0.0</v>
      </c>
      <c r="K12" s="79">
        <v>0.0</v>
      </c>
      <c r="L12" s="79">
        <v>0.0</v>
      </c>
      <c r="M12" s="79">
        <v>0.0</v>
      </c>
      <c r="N12" s="79">
        <v>0.0</v>
      </c>
      <c r="O12" s="80"/>
      <c r="P12" s="80"/>
      <c r="Q12" s="81">
        <v>0.0</v>
      </c>
      <c r="R12" s="80"/>
      <c r="S12" s="81">
        <v>0.0</v>
      </c>
      <c r="T12" s="81">
        <v>0.0</v>
      </c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83">
        <f t="shared" si="2"/>
        <v>12</v>
      </c>
      <c r="BE12" s="84">
        <f t="shared" si="3"/>
        <v>1</v>
      </c>
      <c r="BF12" s="85">
        <f t="shared" si="4"/>
        <v>0.08333333333</v>
      </c>
      <c r="BG12" s="101">
        <f t="shared" si="5"/>
        <v>1</v>
      </c>
      <c r="BH12" s="101">
        <f t="shared" si="6"/>
        <v>9</v>
      </c>
      <c r="BI12" s="87">
        <f t="shared" si="7"/>
        <v>1</v>
      </c>
      <c r="BJ12" s="112"/>
      <c r="BK12" s="102"/>
      <c r="BL12" s="113"/>
      <c r="BM12" s="103">
        <f t="shared" si="8"/>
        <v>0</v>
      </c>
      <c r="BN12" s="110"/>
      <c r="BO12" s="102"/>
      <c r="BP12" s="110"/>
      <c r="BQ12" s="103">
        <f t="shared" si="9"/>
        <v>0</v>
      </c>
      <c r="BR12" s="90">
        <f t="shared" si="10"/>
        <v>0.1</v>
      </c>
      <c r="BS12" s="86">
        <f t="shared" si="11"/>
        <v>0</v>
      </c>
      <c r="BT12" s="86">
        <f t="shared" si="12"/>
        <v>2</v>
      </c>
      <c r="BU12" s="87">
        <f t="shared" si="13"/>
        <v>0</v>
      </c>
      <c r="BV12" s="110"/>
      <c r="BW12" s="110"/>
      <c r="BX12" s="110"/>
      <c r="BY12" s="103">
        <f t="shared" si="14"/>
        <v>0</v>
      </c>
      <c r="BZ12" s="112"/>
      <c r="CA12" s="102"/>
      <c r="CB12" s="113"/>
      <c r="CC12" s="103">
        <f t="shared" si="15"/>
        <v>0</v>
      </c>
      <c r="CD12" s="90">
        <f t="shared" si="16"/>
        <v>0</v>
      </c>
      <c r="CE12" s="86">
        <f t="shared" si="17"/>
        <v>0</v>
      </c>
      <c r="CF12" s="86">
        <f t="shared" si="18"/>
        <v>0</v>
      </c>
      <c r="CG12" s="92" t="str">
        <f t="shared" si="19"/>
        <v>#DIV/0!</v>
      </c>
      <c r="CH12" s="94"/>
      <c r="CI12" s="126"/>
      <c r="CJ12" s="127"/>
      <c r="CK12" s="103">
        <f t="shared" si="20"/>
        <v>0</v>
      </c>
      <c r="CL12" s="110"/>
      <c r="CM12" s="110"/>
      <c r="CN12" s="110"/>
      <c r="CO12" s="103">
        <f t="shared" si="21"/>
        <v>0</v>
      </c>
      <c r="CP12" s="95" t="str">
        <f t="shared" si="22"/>
        <v>#DIV/0!</v>
      </c>
      <c r="CQ12" s="86">
        <f t="shared" si="23"/>
        <v>0</v>
      </c>
      <c r="CR12" s="86">
        <f t="shared" si="24"/>
        <v>0</v>
      </c>
      <c r="CS12" s="92" t="str">
        <f t="shared" si="25"/>
        <v>#DIV/0!</v>
      </c>
      <c r="CT12" s="94"/>
      <c r="CU12" s="94"/>
      <c r="CV12" s="127"/>
      <c r="CW12" s="103">
        <f t="shared" si="26"/>
        <v>0</v>
      </c>
      <c r="CX12" s="94"/>
      <c r="CY12" s="94"/>
      <c r="CZ12" s="128"/>
      <c r="DA12" s="103">
        <f t="shared" si="27"/>
        <v>0</v>
      </c>
      <c r="DB12" s="95" t="str">
        <f t="shared" si="28"/>
        <v>#DIV/0!</v>
      </c>
    </row>
    <row r="13">
      <c r="A13" s="73">
        <v>9.0</v>
      </c>
      <c r="B13" s="74" t="s">
        <v>37</v>
      </c>
      <c r="C13" s="75">
        <v>13.0</v>
      </c>
      <c r="D13" s="76">
        <v>46079.0</v>
      </c>
      <c r="E13" s="125">
        <v>46413.0</v>
      </c>
      <c r="F13" s="105">
        <v>0.0</v>
      </c>
      <c r="G13" s="105">
        <v>0.0</v>
      </c>
      <c r="H13" s="105">
        <v>0.0</v>
      </c>
      <c r="I13" s="105">
        <v>0.0</v>
      </c>
      <c r="J13" s="105">
        <v>0.0</v>
      </c>
      <c r="K13" s="105">
        <v>0.0</v>
      </c>
      <c r="L13" s="105">
        <v>0.0</v>
      </c>
      <c r="M13" s="105">
        <v>0.0</v>
      </c>
      <c r="N13" s="105">
        <v>0.0</v>
      </c>
      <c r="O13" s="80"/>
      <c r="P13" s="80"/>
      <c r="Q13" s="81">
        <v>0.0</v>
      </c>
      <c r="R13" s="80"/>
      <c r="S13" s="81">
        <v>0.0</v>
      </c>
      <c r="T13" s="81">
        <v>0.0</v>
      </c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83">
        <f t="shared" si="2"/>
        <v>12</v>
      </c>
      <c r="BE13" s="84">
        <f t="shared" si="3"/>
        <v>0</v>
      </c>
      <c r="BF13" s="85">
        <f t="shared" si="4"/>
        <v>0</v>
      </c>
      <c r="BG13" s="101">
        <f t="shared" si="5"/>
        <v>0</v>
      </c>
      <c r="BH13" s="101">
        <f t="shared" si="6"/>
        <v>10</v>
      </c>
      <c r="BI13" s="87">
        <f t="shared" si="7"/>
        <v>0</v>
      </c>
      <c r="BJ13" s="112"/>
      <c r="BK13" s="102"/>
      <c r="BL13" s="113"/>
      <c r="BM13" s="103">
        <f t="shared" si="8"/>
        <v>0</v>
      </c>
      <c r="BN13" s="110"/>
      <c r="BO13" s="102"/>
      <c r="BP13" s="110"/>
      <c r="BQ13" s="103">
        <f t="shared" si="9"/>
        <v>0</v>
      </c>
      <c r="BR13" s="90">
        <f t="shared" si="10"/>
        <v>0</v>
      </c>
      <c r="BS13" s="86">
        <f t="shared" si="11"/>
        <v>0</v>
      </c>
      <c r="BT13" s="86">
        <f t="shared" si="12"/>
        <v>2</v>
      </c>
      <c r="BU13" s="87">
        <f t="shared" si="13"/>
        <v>0</v>
      </c>
      <c r="BV13" s="110"/>
      <c r="BW13" s="110"/>
      <c r="BX13" s="110"/>
      <c r="BY13" s="103">
        <f t="shared" si="14"/>
        <v>0</v>
      </c>
      <c r="BZ13" s="112"/>
      <c r="CA13" s="102"/>
      <c r="CB13" s="113"/>
      <c r="CC13" s="103">
        <f t="shared" si="15"/>
        <v>0</v>
      </c>
      <c r="CD13" s="90">
        <f t="shared" si="16"/>
        <v>0</v>
      </c>
      <c r="CE13" s="86">
        <f t="shared" si="17"/>
        <v>0</v>
      </c>
      <c r="CF13" s="86">
        <f t="shared" si="18"/>
        <v>0</v>
      </c>
      <c r="CG13" s="92" t="str">
        <f t="shared" si="19"/>
        <v>#DIV/0!</v>
      </c>
      <c r="CH13" s="93"/>
      <c r="CI13" s="126"/>
      <c r="CJ13" s="126"/>
      <c r="CK13" s="103">
        <f t="shared" si="20"/>
        <v>0</v>
      </c>
      <c r="CL13" s="110"/>
      <c r="CM13" s="110"/>
      <c r="CN13" s="110"/>
      <c r="CO13" s="103">
        <f t="shared" si="21"/>
        <v>0</v>
      </c>
      <c r="CP13" s="95" t="str">
        <f t="shared" si="22"/>
        <v>#DIV/0!</v>
      </c>
      <c r="CQ13" s="86">
        <f t="shared" si="23"/>
        <v>0</v>
      </c>
      <c r="CR13" s="86">
        <f t="shared" si="24"/>
        <v>0</v>
      </c>
      <c r="CS13" s="92" t="str">
        <f t="shared" si="25"/>
        <v>#DIV/0!</v>
      </c>
      <c r="CT13" s="93"/>
      <c r="CU13" s="94"/>
      <c r="CV13" s="94"/>
      <c r="CW13" s="103">
        <f t="shared" si="26"/>
        <v>0</v>
      </c>
      <c r="CX13" s="93"/>
      <c r="CY13" s="94"/>
      <c r="CZ13" s="94"/>
      <c r="DA13" s="103">
        <f t="shared" si="27"/>
        <v>0</v>
      </c>
      <c r="DB13" s="95" t="str">
        <f t="shared" si="28"/>
        <v>#DIV/0!</v>
      </c>
    </row>
    <row r="14">
      <c r="A14" s="108">
        <v>10.0</v>
      </c>
      <c r="B14" s="74" t="s">
        <v>38</v>
      </c>
      <c r="C14" s="75">
        <v>24.0</v>
      </c>
      <c r="D14" s="109">
        <v>45952.0</v>
      </c>
      <c r="E14" s="109">
        <v>46317.0</v>
      </c>
      <c r="F14" s="78">
        <v>0.0</v>
      </c>
      <c r="G14" s="79">
        <v>0.0</v>
      </c>
      <c r="H14" s="79">
        <v>0.0</v>
      </c>
      <c r="I14" s="79">
        <v>0.0</v>
      </c>
      <c r="J14" s="79">
        <v>1.0</v>
      </c>
      <c r="K14" s="79">
        <v>0.0</v>
      </c>
      <c r="L14" s="79">
        <v>0.0</v>
      </c>
      <c r="M14" s="79">
        <v>1.0</v>
      </c>
      <c r="N14" s="79">
        <v>1.0</v>
      </c>
      <c r="O14" s="80"/>
      <c r="P14" s="80"/>
      <c r="Q14" s="81">
        <v>1.0</v>
      </c>
      <c r="R14" s="80"/>
      <c r="S14" s="81">
        <v>1.0</v>
      </c>
      <c r="T14" s="81">
        <v>1.0</v>
      </c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83">
        <f t="shared" si="2"/>
        <v>12</v>
      </c>
      <c r="BE14" s="84">
        <f t="shared" si="3"/>
        <v>6</v>
      </c>
      <c r="BF14" s="85">
        <f t="shared" si="4"/>
        <v>0.5</v>
      </c>
      <c r="BG14" s="101">
        <f t="shared" si="5"/>
        <v>4</v>
      </c>
      <c r="BH14" s="101">
        <f t="shared" si="6"/>
        <v>6</v>
      </c>
      <c r="BI14" s="87">
        <f t="shared" si="7"/>
        <v>4</v>
      </c>
      <c r="BJ14" s="112"/>
      <c r="BK14" s="102"/>
      <c r="BL14" s="113"/>
      <c r="BM14" s="103">
        <f t="shared" si="8"/>
        <v>0</v>
      </c>
      <c r="BN14" s="110"/>
      <c r="BO14" s="102"/>
      <c r="BP14" s="110"/>
      <c r="BQ14" s="103">
        <f t="shared" si="9"/>
        <v>0</v>
      </c>
      <c r="BR14" s="90">
        <f t="shared" si="10"/>
        <v>0.4</v>
      </c>
      <c r="BS14" s="86">
        <f t="shared" si="11"/>
        <v>2</v>
      </c>
      <c r="BT14" s="86">
        <f t="shared" si="12"/>
        <v>0</v>
      </c>
      <c r="BU14" s="87">
        <f t="shared" si="13"/>
        <v>10</v>
      </c>
      <c r="BV14" s="110"/>
      <c r="BW14" s="110"/>
      <c r="BX14" s="110"/>
      <c r="BY14" s="103">
        <f t="shared" si="14"/>
        <v>0</v>
      </c>
      <c r="BZ14" s="114">
        <v>9.0</v>
      </c>
      <c r="CA14" s="102"/>
      <c r="CB14" s="113"/>
      <c r="CC14" s="103">
        <f t="shared" si="15"/>
        <v>3</v>
      </c>
      <c r="CD14" s="90">
        <f t="shared" si="16"/>
        <v>2.8</v>
      </c>
      <c r="CE14" s="86">
        <f t="shared" si="17"/>
        <v>0</v>
      </c>
      <c r="CF14" s="86">
        <f t="shared" si="18"/>
        <v>0</v>
      </c>
      <c r="CG14" s="92" t="str">
        <f t="shared" si="19"/>
        <v>#DIV/0!</v>
      </c>
      <c r="CH14" s="93"/>
      <c r="CI14" s="94"/>
      <c r="CJ14" s="94"/>
      <c r="CK14" s="103">
        <f t="shared" si="20"/>
        <v>0</v>
      </c>
      <c r="CL14" s="110"/>
      <c r="CM14" s="110"/>
      <c r="CN14" s="110"/>
      <c r="CO14" s="103">
        <f t="shared" si="21"/>
        <v>0</v>
      </c>
      <c r="CP14" s="95" t="str">
        <f t="shared" si="22"/>
        <v>#DIV/0!</v>
      </c>
      <c r="CQ14" s="86">
        <f t="shared" si="23"/>
        <v>0</v>
      </c>
      <c r="CR14" s="86">
        <f t="shared" si="24"/>
        <v>0</v>
      </c>
      <c r="CS14" s="92" t="str">
        <f t="shared" si="25"/>
        <v>#DIV/0!</v>
      </c>
      <c r="CT14" s="93"/>
      <c r="CU14" s="94"/>
      <c r="CV14" s="94"/>
      <c r="CW14" s="103">
        <f t="shared" si="26"/>
        <v>0</v>
      </c>
      <c r="CX14" s="93"/>
      <c r="CY14" s="94"/>
      <c r="CZ14" s="94"/>
      <c r="DA14" s="103">
        <f t="shared" si="27"/>
        <v>0</v>
      </c>
      <c r="DB14" s="95" t="str">
        <f t="shared" si="28"/>
        <v>#DIV/0!</v>
      </c>
    </row>
    <row r="15">
      <c r="A15" s="73">
        <v>11.0</v>
      </c>
      <c r="B15" s="74" t="s">
        <v>39</v>
      </c>
      <c r="C15" s="75">
        <v>13.0</v>
      </c>
      <c r="D15" s="76">
        <v>45820.0</v>
      </c>
      <c r="E15" s="125">
        <v>46185.0</v>
      </c>
      <c r="F15" s="99">
        <v>1.0</v>
      </c>
      <c r="G15" s="79">
        <v>1.0</v>
      </c>
      <c r="H15" s="79">
        <v>1.0</v>
      </c>
      <c r="I15" s="79">
        <v>1.0</v>
      </c>
      <c r="J15" s="79">
        <v>1.0</v>
      </c>
      <c r="K15" s="79">
        <v>1.0</v>
      </c>
      <c r="L15" s="79">
        <v>1.0</v>
      </c>
      <c r="M15" s="79">
        <v>1.0</v>
      </c>
      <c r="N15" s="79">
        <v>1.0</v>
      </c>
      <c r="O15" s="80"/>
      <c r="P15" s="80"/>
      <c r="Q15" s="81">
        <v>1.0</v>
      </c>
      <c r="R15" s="80"/>
      <c r="S15" s="81">
        <v>1.0</v>
      </c>
      <c r="T15" s="81">
        <v>1.0</v>
      </c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0"/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83">
        <f t="shared" si="2"/>
        <v>12</v>
      </c>
      <c r="BE15" s="84">
        <f t="shared" si="3"/>
        <v>12</v>
      </c>
      <c r="BF15" s="85">
        <f t="shared" si="4"/>
        <v>1</v>
      </c>
      <c r="BG15" s="101">
        <f t="shared" si="5"/>
        <v>10</v>
      </c>
      <c r="BH15" s="101">
        <f t="shared" si="6"/>
        <v>0</v>
      </c>
      <c r="BI15" s="87">
        <f t="shared" si="7"/>
        <v>10</v>
      </c>
      <c r="BJ15" s="112"/>
      <c r="BK15" s="102"/>
      <c r="BL15" s="113"/>
      <c r="BM15" s="103">
        <f t="shared" si="8"/>
        <v>0</v>
      </c>
      <c r="BN15" s="110"/>
      <c r="BO15" s="102"/>
      <c r="BP15" s="110"/>
      <c r="BQ15" s="103">
        <f t="shared" si="9"/>
        <v>0</v>
      </c>
      <c r="BR15" s="90">
        <f t="shared" si="10"/>
        <v>1</v>
      </c>
      <c r="BS15" s="86">
        <f t="shared" si="11"/>
        <v>2</v>
      </c>
      <c r="BT15" s="86">
        <f t="shared" si="12"/>
        <v>0</v>
      </c>
      <c r="BU15" s="87">
        <f t="shared" si="13"/>
        <v>10</v>
      </c>
      <c r="BV15" s="110"/>
      <c r="BW15" s="110"/>
      <c r="BX15" s="110"/>
      <c r="BY15" s="103">
        <f t="shared" si="14"/>
        <v>0</v>
      </c>
      <c r="BZ15" s="114">
        <v>9.2</v>
      </c>
      <c r="CA15" s="102"/>
      <c r="CB15" s="113"/>
      <c r="CC15" s="103">
        <f t="shared" si="15"/>
        <v>3.066666667</v>
      </c>
      <c r="CD15" s="90">
        <f t="shared" si="16"/>
        <v>2.84</v>
      </c>
      <c r="CE15" s="86">
        <f t="shared" si="17"/>
        <v>0</v>
      </c>
      <c r="CF15" s="86">
        <f t="shared" si="18"/>
        <v>0</v>
      </c>
      <c r="CG15" s="92" t="str">
        <f t="shared" si="19"/>
        <v>#DIV/0!</v>
      </c>
      <c r="CH15" s="93"/>
      <c r="CI15" s="94"/>
      <c r="CJ15" s="94"/>
      <c r="CK15" s="103">
        <f t="shared" si="20"/>
        <v>0</v>
      </c>
      <c r="CL15" s="110"/>
      <c r="CM15" s="110"/>
      <c r="CN15" s="110"/>
      <c r="CO15" s="103">
        <f t="shared" si="21"/>
        <v>0</v>
      </c>
      <c r="CP15" s="95" t="str">
        <f t="shared" si="22"/>
        <v>#DIV/0!</v>
      </c>
      <c r="CQ15" s="86">
        <f t="shared" si="23"/>
        <v>0</v>
      </c>
      <c r="CR15" s="86">
        <f t="shared" si="24"/>
        <v>0</v>
      </c>
      <c r="CS15" s="92" t="str">
        <f t="shared" si="25"/>
        <v>#DIV/0!</v>
      </c>
      <c r="CT15" s="110"/>
      <c r="CU15" s="110"/>
      <c r="CV15" s="110"/>
      <c r="CW15" s="103">
        <f t="shared" si="26"/>
        <v>0</v>
      </c>
      <c r="CX15" s="93"/>
      <c r="CY15" s="94"/>
      <c r="CZ15" s="94"/>
      <c r="DA15" s="103">
        <f t="shared" si="27"/>
        <v>0</v>
      </c>
      <c r="DB15" s="95" t="str">
        <f t="shared" si="28"/>
        <v>#DIV/0!</v>
      </c>
    </row>
    <row r="16">
      <c r="A16" s="73">
        <v>12.0</v>
      </c>
      <c r="B16" s="129" t="s">
        <v>40</v>
      </c>
      <c r="C16" s="130">
        <v>14.0</v>
      </c>
      <c r="D16" s="125">
        <v>46112.0</v>
      </c>
      <c r="E16" s="125">
        <v>46477.0</v>
      </c>
      <c r="F16" s="99"/>
      <c r="G16" s="79"/>
      <c r="H16" s="79"/>
      <c r="I16" s="79"/>
      <c r="J16" s="79"/>
      <c r="K16" s="79"/>
      <c r="L16" s="79"/>
      <c r="M16" s="79"/>
      <c r="N16" s="79"/>
      <c r="O16" s="80"/>
      <c r="P16" s="80"/>
      <c r="Q16" s="81">
        <v>0.0</v>
      </c>
      <c r="R16" s="80"/>
      <c r="S16" s="81">
        <v>0.0</v>
      </c>
      <c r="T16" s="81">
        <v>0.0</v>
      </c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0"/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83"/>
      <c r="BE16" s="84"/>
      <c r="BF16" s="85"/>
      <c r="BG16" s="101"/>
      <c r="BH16" s="101"/>
      <c r="BI16" s="87"/>
      <c r="BJ16" s="112"/>
      <c r="BK16" s="102"/>
      <c r="BL16" s="113"/>
      <c r="BM16" s="103"/>
      <c r="BN16" s="110"/>
      <c r="BO16" s="102"/>
      <c r="BP16" s="110"/>
      <c r="BQ16" s="103"/>
      <c r="BR16" s="90"/>
      <c r="BS16" s="86"/>
      <c r="BT16" s="86"/>
      <c r="BU16" s="87"/>
      <c r="BV16" s="110"/>
      <c r="BW16" s="110"/>
      <c r="BX16" s="110"/>
      <c r="BY16" s="103"/>
      <c r="BZ16" s="112"/>
      <c r="CA16" s="102"/>
      <c r="CB16" s="113"/>
      <c r="CC16" s="103"/>
      <c r="CD16" s="90"/>
      <c r="CE16" s="86"/>
      <c r="CF16" s="86"/>
      <c r="CG16" s="92"/>
      <c r="CH16" s="93"/>
      <c r="CI16" s="94"/>
      <c r="CJ16" s="94"/>
      <c r="CK16" s="103"/>
      <c r="CL16" s="110"/>
      <c r="CM16" s="110"/>
      <c r="CN16" s="110"/>
      <c r="CO16" s="103"/>
      <c r="CP16" s="95"/>
      <c r="CQ16" s="86"/>
      <c r="CR16" s="86"/>
      <c r="CS16" s="92"/>
      <c r="CT16" s="110"/>
      <c r="CU16" s="110"/>
      <c r="CV16" s="110"/>
      <c r="CW16" s="103"/>
      <c r="CX16" s="93"/>
      <c r="CY16" s="94"/>
      <c r="CZ16" s="94"/>
      <c r="DA16" s="103"/>
      <c r="DB16" s="95"/>
    </row>
    <row r="17">
      <c r="A17" s="73">
        <v>13.0</v>
      </c>
      <c r="B17" s="74" t="s">
        <v>41</v>
      </c>
      <c r="C17" s="75">
        <v>34.0</v>
      </c>
      <c r="D17" s="109">
        <v>45945.0</v>
      </c>
      <c r="E17" s="109">
        <v>46310.0</v>
      </c>
      <c r="F17" s="99">
        <v>0.0</v>
      </c>
      <c r="G17" s="79">
        <v>0.0</v>
      </c>
      <c r="H17" s="79">
        <v>0.0</v>
      </c>
      <c r="I17" s="79">
        <v>1.0</v>
      </c>
      <c r="J17" s="79">
        <v>0.0</v>
      </c>
      <c r="K17" s="79">
        <v>0.0</v>
      </c>
      <c r="L17" s="79">
        <v>0.0</v>
      </c>
      <c r="M17" s="79">
        <v>0.0</v>
      </c>
      <c r="N17" s="79">
        <v>0.0</v>
      </c>
      <c r="O17" s="80"/>
      <c r="P17" s="80"/>
      <c r="Q17" s="81">
        <v>1.0</v>
      </c>
      <c r="R17" s="80"/>
      <c r="S17" s="81">
        <v>0.0</v>
      </c>
      <c r="T17" s="81" t="s">
        <v>29</v>
      </c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83">
        <f t="shared" ref="BD17:BD28" si="29">COUNTIF(F17:BC17,"&gt;=0")</f>
        <v>11</v>
      </c>
      <c r="BE17" s="84">
        <f t="shared" ref="BE17:BE28" si="30">COUNTIF(F17:BC17, "1")</f>
        <v>2</v>
      </c>
      <c r="BF17" s="85">
        <f t="shared" ref="BF17:BF28" si="31">BE17/BD17</f>
        <v>0.1818181818</v>
      </c>
      <c r="BG17" s="101">
        <f t="shared" ref="BG17:BG28" si="32">COUNTIF(F17:Q17, "1")</f>
        <v>2</v>
      </c>
      <c r="BH17" s="101">
        <f t="shared" ref="BH17:BH28" si="33">COUNTIF(F17:Q17, "0")</f>
        <v>8</v>
      </c>
      <c r="BI17" s="87">
        <f t="shared" ref="BI17:BI28" si="34">(BG17*10)/(BG17+BH17)</f>
        <v>2</v>
      </c>
      <c r="BJ17" s="112"/>
      <c r="BK17" s="102"/>
      <c r="BL17" s="113"/>
      <c r="BM17" s="103">
        <f t="shared" ref="BM17:BM28" si="35">SUM(BJ17:BL17)/3</f>
        <v>0</v>
      </c>
      <c r="BN17" s="110"/>
      <c r="BO17" s="102"/>
      <c r="BP17" s="110"/>
      <c r="BQ17" s="103">
        <f t="shared" ref="BQ17:BQ28" si="36">SUM(BN17:BP17)/3</f>
        <v>0</v>
      </c>
      <c r="BR17" s="90">
        <f t="shared" ref="BR17:BR28" si="37">(BI17*0.1)+(BM17*0.3)+(BQ17*0.6)</f>
        <v>0.2</v>
      </c>
      <c r="BS17" s="86">
        <f t="shared" ref="BS17:BS28" si="38">COUNTIF(R17:AC17, "1")</f>
        <v>0</v>
      </c>
      <c r="BT17" s="86">
        <f t="shared" ref="BT17:BT28" si="39">COUNTIF(R17:AC17, "0")</f>
        <v>1</v>
      </c>
      <c r="BU17" s="87">
        <f t="shared" ref="BU17:BU28" si="40">(BS17*10)/(BS17+BT17)</f>
        <v>0</v>
      </c>
      <c r="BV17" s="110"/>
      <c r="BW17" s="110"/>
      <c r="BX17" s="110"/>
      <c r="BY17" s="103">
        <f t="shared" ref="BY17:BY28" si="41">SUM(BV17:BX17)/3</f>
        <v>0</v>
      </c>
      <c r="BZ17" s="114">
        <v>9.2</v>
      </c>
      <c r="CA17" s="102"/>
      <c r="CB17" s="113"/>
      <c r="CC17" s="103">
        <f t="shared" ref="CC17:CC28" si="42">SUM(BZ17:CB17)/3</f>
        <v>3.066666667</v>
      </c>
      <c r="CD17" s="90">
        <f t="shared" ref="CD17:CD28" si="43">(BU17*0.1)+(BY17*0.3)+(CC17*0.6)</f>
        <v>1.84</v>
      </c>
      <c r="CE17" s="86">
        <f t="shared" ref="CE17:CE28" si="44">COUNTIF(AD17:AO17, "1")</f>
        <v>0</v>
      </c>
      <c r="CF17" s="86">
        <f t="shared" ref="CF17:CF28" si="45">COUNTIF(AD17:AO17, "0")</f>
        <v>0</v>
      </c>
      <c r="CG17" s="92" t="str">
        <f t="shared" ref="CG17:CG28" si="46">(CE17*10)/(CE17+CF17)</f>
        <v>#DIV/0!</v>
      </c>
      <c r="CH17" s="93"/>
      <c r="CI17" s="94"/>
      <c r="CJ17" s="94"/>
      <c r="CK17" s="103">
        <f t="shared" ref="CK17:CK28" si="47">SUM(CH17:CJ17)/3</f>
        <v>0</v>
      </c>
      <c r="CL17" s="110"/>
      <c r="CM17" s="110"/>
      <c r="CN17" s="110"/>
      <c r="CO17" s="103">
        <f t="shared" ref="CO17:CO28" si="48">SUM(CL17:CN17)/3</f>
        <v>0</v>
      </c>
      <c r="CP17" s="95" t="str">
        <f t="shared" ref="CP17:CP28" si="49">(CG17*0.1)+(CK17*0.3)+(CO17*0.6)</f>
        <v>#DIV/0!</v>
      </c>
      <c r="CQ17" s="86">
        <f t="shared" ref="CQ17:CQ28" si="50">COUNTIF(AP17:BC17, "1")</f>
        <v>0</v>
      </c>
      <c r="CR17" s="86">
        <f t="shared" ref="CR17:CR28" si="51">COUNTIF(AP17:BC17, "0")</f>
        <v>0</v>
      </c>
      <c r="CS17" s="92" t="str">
        <f t="shared" ref="CS17:CS28" si="52">(CQ17*10)/(CQ17+CR17)</f>
        <v>#DIV/0!</v>
      </c>
      <c r="CT17" s="110"/>
      <c r="CU17" s="110"/>
      <c r="CV17" s="110"/>
      <c r="CW17" s="103">
        <f t="shared" ref="CW17:CW28" si="53">SUM(CT17:CV17)/3</f>
        <v>0</v>
      </c>
      <c r="CX17" s="93"/>
      <c r="CY17" s="94"/>
      <c r="CZ17" s="94"/>
      <c r="DA17" s="103">
        <f t="shared" ref="DA17:DA28" si="54">SUM(CX17:CZ17)/3</f>
        <v>0</v>
      </c>
      <c r="DB17" s="95" t="str">
        <f t="shared" ref="DB17:DB28" si="55">(CS17*0.1)+(CW17*0.3)+(DA17*0.6)</f>
        <v>#DIV/0!</v>
      </c>
    </row>
    <row r="18">
      <c r="A18" s="108">
        <v>14.0</v>
      </c>
      <c r="B18" s="74" t="s">
        <v>42</v>
      </c>
      <c r="C18" s="75">
        <v>12.0</v>
      </c>
      <c r="D18" s="109">
        <v>45806.0</v>
      </c>
      <c r="E18" s="109">
        <v>46171.0</v>
      </c>
      <c r="F18" s="99">
        <v>1.0</v>
      </c>
      <c r="G18" s="79">
        <v>1.0</v>
      </c>
      <c r="H18" s="79">
        <v>1.0</v>
      </c>
      <c r="I18" s="79">
        <v>0.0</v>
      </c>
      <c r="J18" s="79">
        <v>1.0</v>
      </c>
      <c r="K18" s="79">
        <v>1.0</v>
      </c>
      <c r="L18" s="79">
        <v>1.0</v>
      </c>
      <c r="M18" s="79">
        <v>1.0</v>
      </c>
      <c r="N18" s="79">
        <v>1.0</v>
      </c>
      <c r="O18" s="80"/>
      <c r="P18" s="80"/>
      <c r="Q18" s="81">
        <v>0.0</v>
      </c>
      <c r="R18" s="80"/>
      <c r="S18" s="81">
        <v>1.0</v>
      </c>
      <c r="T18" s="81">
        <v>0.0</v>
      </c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83">
        <f t="shared" si="29"/>
        <v>12</v>
      </c>
      <c r="BE18" s="84">
        <f t="shared" si="30"/>
        <v>9</v>
      </c>
      <c r="BF18" s="85">
        <f t="shared" si="31"/>
        <v>0.75</v>
      </c>
      <c r="BG18" s="101">
        <f t="shared" si="32"/>
        <v>8</v>
      </c>
      <c r="BH18" s="101">
        <f t="shared" si="33"/>
        <v>2</v>
      </c>
      <c r="BI18" s="87">
        <f t="shared" si="34"/>
        <v>8</v>
      </c>
      <c r="BJ18" s="112"/>
      <c r="BK18" s="102"/>
      <c r="BL18" s="113"/>
      <c r="BM18" s="103">
        <f t="shared" si="35"/>
        <v>0</v>
      </c>
      <c r="BN18" s="110"/>
      <c r="BO18" s="102"/>
      <c r="BP18" s="110"/>
      <c r="BQ18" s="103">
        <f t="shared" si="36"/>
        <v>0</v>
      </c>
      <c r="BR18" s="90">
        <f t="shared" si="37"/>
        <v>0.8</v>
      </c>
      <c r="BS18" s="86">
        <f t="shared" si="38"/>
        <v>1</v>
      </c>
      <c r="BT18" s="86">
        <f t="shared" si="39"/>
        <v>1</v>
      </c>
      <c r="BU18" s="87">
        <f t="shared" si="40"/>
        <v>5</v>
      </c>
      <c r="BV18" s="110"/>
      <c r="BW18" s="110"/>
      <c r="BX18" s="110"/>
      <c r="BY18" s="103">
        <f t="shared" si="41"/>
        <v>0</v>
      </c>
      <c r="BZ18" s="114">
        <v>8.7</v>
      </c>
      <c r="CA18" s="102"/>
      <c r="CB18" s="113"/>
      <c r="CC18" s="103">
        <f t="shared" si="42"/>
        <v>2.9</v>
      </c>
      <c r="CD18" s="90">
        <f t="shared" si="43"/>
        <v>2.24</v>
      </c>
      <c r="CE18" s="86">
        <f t="shared" si="44"/>
        <v>0</v>
      </c>
      <c r="CF18" s="86">
        <f t="shared" si="45"/>
        <v>0</v>
      </c>
      <c r="CG18" s="92" t="str">
        <f t="shared" si="46"/>
        <v>#DIV/0!</v>
      </c>
      <c r="CH18" s="93"/>
      <c r="CI18" s="94"/>
      <c r="CJ18" s="94"/>
      <c r="CK18" s="103">
        <f t="shared" si="47"/>
        <v>0</v>
      </c>
      <c r="CL18" s="110"/>
      <c r="CM18" s="110"/>
      <c r="CN18" s="110"/>
      <c r="CO18" s="103">
        <f t="shared" si="48"/>
        <v>0</v>
      </c>
      <c r="CP18" s="95" t="str">
        <f t="shared" si="49"/>
        <v>#DIV/0!</v>
      </c>
      <c r="CQ18" s="86">
        <f t="shared" si="50"/>
        <v>0</v>
      </c>
      <c r="CR18" s="86">
        <f t="shared" si="51"/>
        <v>0</v>
      </c>
      <c r="CS18" s="92" t="str">
        <f t="shared" si="52"/>
        <v>#DIV/0!</v>
      </c>
      <c r="CT18" s="110"/>
      <c r="CU18" s="110"/>
      <c r="CV18" s="110"/>
      <c r="CW18" s="103">
        <f t="shared" si="53"/>
        <v>0</v>
      </c>
      <c r="CX18" s="131">
        <v>7.5</v>
      </c>
      <c r="CY18" s="94"/>
      <c r="CZ18" s="94"/>
      <c r="DA18" s="103">
        <f t="shared" si="54"/>
        <v>2.5</v>
      </c>
      <c r="DB18" s="95" t="str">
        <f t="shared" si="55"/>
        <v>#DIV/0!</v>
      </c>
    </row>
    <row r="19">
      <c r="A19" s="73">
        <v>15.0</v>
      </c>
      <c r="B19" s="74" t="s">
        <v>43</v>
      </c>
      <c r="C19" s="75">
        <v>14.0</v>
      </c>
      <c r="D19" s="76">
        <v>45980.0</v>
      </c>
      <c r="E19" s="98">
        <v>46345.0</v>
      </c>
      <c r="F19" s="99">
        <v>0.0</v>
      </c>
      <c r="G19" s="79">
        <v>1.0</v>
      </c>
      <c r="H19" s="79">
        <v>1.0</v>
      </c>
      <c r="I19" s="79">
        <v>1.0</v>
      </c>
      <c r="J19" s="79">
        <v>1.0</v>
      </c>
      <c r="K19" s="79">
        <v>1.0</v>
      </c>
      <c r="L19" s="79">
        <v>0.0</v>
      </c>
      <c r="M19" s="79">
        <v>1.0</v>
      </c>
      <c r="N19" s="79">
        <v>1.0</v>
      </c>
      <c r="O19" s="80"/>
      <c r="P19" s="80"/>
      <c r="Q19" s="81">
        <v>1.0</v>
      </c>
      <c r="R19" s="80"/>
      <c r="S19" s="81">
        <v>1.0</v>
      </c>
      <c r="T19" s="81">
        <v>1.0</v>
      </c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0"/>
      <c r="AQ19" s="100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83">
        <f t="shared" si="29"/>
        <v>12</v>
      </c>
      <c r="BE19" s="84">
        <f t="shared" si="30"/>
        <v>10</v>
      </c>
      <c r="BF19" s="85">
        <f t="shared" si="31"/>
        <v>0.8333333333</v>
      </c>
      <c r="BG19" s="101">
        <f t="shared" si="32"/>
        <v>8</v>
      </c>
      <c r="BH19" s="101">
        <f t="shared" si="33"/>
        <v>2</v>
      </c>
      <c r="BI19" s="87">
        <f t="shared" si="34"/>
        <v>8</v>
      </c>
      <c r="BJ19" s="112"/>
      <c r="BK19" s="102"/>
      <c r="BL19" s="113"/>
      <c r="BM19" s="103">
        <f t="shared" si="35"/>
        <v>0</v>
      </c>
      <c r="BN19" s="110"/>
      <c r="BO19" s="102"/>
      <c r="BP19" s="110"/>
      <c r="BQ19" s="103">
        <f t="shared" si="36"/>
        <v>0</v>
      </c>
      <c r="BR19" s="90">
        <f t="shared" si="37"/>
        <v>0.8</v>
      </c>
      <c r="BS19" s="86">
        <f t="shared" si="38"/>
        <v>2</v>
      </c>
      <c r="BT19" s="86">
        <f t="shared" si="39"/>
        <v>0</v>
      </c>
      <c r="BU19" s="87">
        <f t="shared" si="40"/>
        <v>10</v>
      </c>
      <c r="BV19" s="110"/>
      <c r="BW19" s="110"/>
      <c r="BX19" s="110"/>
      <c r="BY19" s="103">
        <f t="shared" si="41"/>
        <v>0</v>
      </c>
      <c r="BZ19" s="114">
        <v>7.0</v>
      </c>
      <c r="CA19" s="102"/>
      <c r="CB19" s="113"/>
      <c r="CC19" s="103">
        <f t="shared" si="42"/>
        <v>2.333333333</v>
      </c>
      <c r="CD19" s="90">
        <f t="shared" si="43"/>
        <v>2.4</v>
      </c>
      <c r="CE19" s="86">
        <f t="shared" si="44"/>
        <v>0</v>
      </c>
      <c r="CF19" s="86">
        <f t="shared" si="45"/>
        <v>0</v>
      </c>
      <c r="CG19" s="92" t="str">
        <f t="shared" si="46"/>
        <v>#DIV/0!</v>
      </c>
      <c r="CH19" s="93"/>
      <c r="CI19" s="94"/>
      <c r="CJ19" s="94"/>
      <c r="CK19" s="103">
        <f t="shared" si="47"/>
        <v>0</v>
      </c>
      <c r="CL19" s="110"/>
      <c r="CM19" s="110"/>
      <c r="CN19" s="110"/>
      <c r="CO19" s="103">
        <f t="shared" si="48"/>
        <v>0</v>
      </c>
      <c r="CP19" s="95" t="str">
        <f t="shared" si="49"/>
        <v>#DIV/0!</v>
      </c>
      <c r="CQ19" s="86">
        <f t="shared" si="50"/>
        <v>0</v>
      </c>
      <c r="CR19" s="86">
        <f t="shared" si="51"/>
        <v>0</v>
      </c>
      <c r="CS19" s="92" t="str">
        <f t="shared" si="52"/>
        <v>#DIV/0!</v>
      </c>
      <c r="CT19" s="110"/>
      <c r="CU19" s="110"/>
      <c r="CV19" s="110"/>
      <c r="CW19" s="103">
        <f t="shared" si="53"/>
        <v>0</v>
      </c>
      <c r="CX19" s="93"/>
      <c r="CY19" s="94"/>
      <c r="CZ19" s="94"/>
      <c r="DA19" s="103">
        <f t="shared" si="54"/>
        <v>0</v>
      </c>
      <c r="DB19" s="95" t="str">
        <f t="shared" si="55"/>
        <v>#DIV/0!</v>
      </c>
    </row>
    <row r="20">
      <c r="A20" s="73">
        <v>16.0</v>
      </c>
      <c r="B20" s="74" t="s">
        <v>44</v>
      </c>
      <c r="C20" s="75">
        <v>11.0</v>
      </c>
      <c r="D20" s="125">
        <v>45924.0</v>
      </c>
      <c r="E20" s="98">
        <v>46289.0</v>
      </c>
      <c r="F20" s="99">
        <v>1.0</v>
      </c>
      <c r="G20" s="79">
        <v>1.0</v>
      </c>
      <c r="H20" s="79">
        <v>1.0</v>
      </c>
      <c r="I20" s="79">
        <v>1.0</v>
      </c>
      <c r="J20" s="79">
        <v>1.0</v>
      </c>
      <c r="K20" s="79">
        <v>1.0</v>
      </c>
      <c r="L20" s="79">
        <v>1.0</v>
      </c>
      <c r="M20" s="79">
        <v>0.0</v>
      </c>
      <c r="N20" s="79">
        <v>0.0</v>
      </c>
      <c r="O20" s="80"/>
      <c r="P20" s="80"/>
      <c r="Q20" s="81">
        <v>1.0</v>
      </c>
      <c r="R20" s="80"/>
      <c r="S20" s="81">
        <v>0.0</v>
      </c>
      <c r="T20" s="81">
        <v>0.0</v>
      </c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83">
        <f t="shared" si="29"/>
        <v>12</v>
      </c>
      <c r="BE20" s="84">
        <f t="shared" si="30"/>
        <v>8</v>
      </c>
      <c r="BF20" s="85">
        <f t="shared" si="31"/>
        <v>0.6666666667</v>
      </c>
      <c r="BG20" s="101">
        <f t="shared" si="32"/>
        <v>8</v>
      </c>
      <c r="BH20" s="101">
        <f t="shared" si="33"/>
        <v>2</v>
      </c>
      <c r="BI20" s="87">
        <f t="shared" si="34"/>
        <v>8</v>
      </c>
      <c r="BJ20" s="112"/>
      <c r="BK20" s="102"/>
      <c r="BL20" s="113"/>
      <c r="BM20" s="103">
        <f t="shared" si="35"/>
        <v>0</v>
      </c>
      <c r="BN20" s="110"/>
      <c r="BO20" s="102"/>
      <c r="BP20" s="110"/>
      <c r="BQ20" s="103">
        <f t="shared" si="36"/>
        <v>0</v>
      </c>
      <c r="BR20" s="90">
        <f t="shared" si="37"/>
        <v>0.8</v>
      </c>
      <c r="BS20" s="86">
        <f t="shared" si="38"/>
        <v>0</v>
      </c>
      <c r="BT20" s="86">
        <f t="shared" si="39"/>
        <v>2</v>
      </c>
      <c r="BU20" s="87">
        <f t="shared" si="40"/>
        <v>0</v>
      </c>
      <c r="BV20" s="110"/>
      <c r="BW20" s="110"/>
      <c r="BX20" s="110"/>
      <c r="BY20" s="103">
        <f t="shared" si="41"/>
        <v>0</v>
      </c>
      <c r="BZ20" s="114">
        <v>7.1</v>
      </c>
      <c r="CA20" s="102"/>
      <c r="CB20" s="113"/>
      <c r="CC20" s="103">
        <f t="shared" si="42"/>
        <v>2.366666667</v>
      </c>
      <c r="CD20" s="90">
        <f t="shared" si="43"/>
        <v>1.42</v>
      </c>
      <c r="CE20" s="86">
        <f t="shared" si="44"/>
        <v>0</v>
      </c>
      <c r="CF20" s="86">
        <f t="shared" si="45"/>
        <v>0</v>
      </c>
      <c r="CG20" s="92" t="str">
        <f t="shared" si="46"/>
        <v>#DIV/0!</v>
      </c>
      <c r="CH20" s="93"/>
      <c r="CI20" s="94"/>
      <c r="CJ20" s="94"/>
      <c r="CK20" s="103">
        <f t="shared" si="47"/>
        <v>0</v>
      </c>
      <c r="CL20" s="110"/>
      <c r="CM20" s="110"/>
      <c r="CN20" s="110"/>
      <c r="CO20" s="103">
        <f t="shared" si="48"/>
        <v>0</v>
      </c>
      <c r="CP20" s="95" t="str">
        <f t="shared" si="49"/>
        <v>#DIV/0!</v>
      </c>
      <c r="CQ20" s="86">
        <f t="shared" si="50"/>
        <v>0</v>
      </c>
      <c r="CR20" s="86">
        <f t="shared" si="51"/>
        <v>0</v>
      </c>
      <c r="CS20" s="92" t="str">
        <f t="shared" si="52"/>
        <v>#DIV/0!</v>
      </c>
      <c r="CT20" s="110"/>
      <c r="CU20" s="110"/>
      <c r="CV20" s="110"/>
      <c r="CW20" s="103">
        <f t="shared" si="53"/>
        <v>0</v>
      </c>
      <c r="CX20" s="96">
        <v>5.1</v>
      </c>
      <c r="CY20" s="94"/>
      <c r="CZ20" s="94"/>
      <c r="DA20" s="103">
        <f t="shared" si="54"/>
        <v>1.7</v>
      </c>
      <c r="DB20" s="95" t="str">
        <f t="shared" si="55"/>
        <v>#DIV/0!</v>
      </c>
    </row>
    <row r="21">
      <c r="A21" s="73">
        <v>17.0</v>
      </c>
      <c r="B21" s="74" t="s">
        <v>45</v>
      </c>
      <c r="C21" s="75">
        <v>19.0</v>
      </c>
      <c r="D21" s="76">
        <v>45819.0</v>
      </c>
      <c r="E21" s="98">
        <v>46153.0</v>
      </c>
      <c r="F21" s="99">
        <v>0.0</v>
      </c>
      <c r="G21" s="79">
        <v>1.0</v>
      </c>
      <c r="H21" s="79">
        <v>0.0</v>
      </c>
      <c r="I21" s="79">
        <v>0.0</v>
      </c>
      <c r="J21" s="79">
        <v>0.0</v>
      </c>
      <c r="K21" s="79">
        <v>1.0</v>
      </c>
      <c r="L21" s="79">
        <v>0.0</v>
      </c>
      <c r="M21" s="79">
        <v>0.0</v>
      </c>
      <c r="N21" s="79">
        <v>0.0</v>
      </c>
      <c r="O21" s="80"/>
      <c r="P21" s="80"/>
      <c r="Q21" s="81">
        <v>1.0</v>
      </c>
      <c r="R21" s="80"/>
      <c r="S21" s="81">
        <v>1.0</v>
      </c>
      <c r="T21" s="81">
        <v>1.0</v>
      </c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0"/>
      <c r="AQ21" s="100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83">
        <f t="shared" si="29"/>
        <v>12</v>
      </c>
      <c r="BE21" s="84">
        <f t="shared" si="30"/>
        <v>5</v>
      </c>
      <c r="BF21" s="85">
        <f t="shared" si="31"/>
        <v>0.4166666667</v>
      </c>
      <c r="BG21" s="101">
        <f t="shared" si="32"/>
        <v>3</v>
      </c>
      <c r="BH21" s="101">
        <f t="shared" si="33"/>
        <v>7</v>
      </c>
      <c r="BI21" s="87">
        <f t="shared" si="34"/>
        <v>3</v>
      </c>
      <c r="BJ21" s="112"/>
      <c r="BK21" s="102"/>
      <c r="BL21" s="113"/>
      <c r="BM21" s="103">
        <f t="shared" si="35"/>
        <v>0</v>
      </c>
      <c r="BN21" s="110"/>
      <c r="BO21" s="102"/>
      <c r="BP21" s="110"/>
      <c r="BQ21" s="103">
        <f t="shared" si="36"/>
        <v>0</v>
      </c>
      <c r="BR21" s="90">
        <f t="shared" si="37"/>
        <v>0.3</v>
      </c>
      <c r="BS21" s="86">
        <f t="shared" si="38"/>
        <v>2</v>
      </c>
      <c r="BT21" s="86">
        <f t="shared" si="39"/>
        <v>0</v>
      </c>
      <c r="BU21" s="87">
        <f t="shared" si="40"/>
        <v>10</v>
      </c>
      <c r="BV21" s="110"/>
      <c r="BW21" s="110"/>
      <c r="BX21" s="110"/>
      <c r="BY21" s="103">
        <f t="shared" si="41"/>
        <v>0</v>
      </c>
      <c r="BZ21" s="114">
        <v>5.7</v>
      </c>
      <c r="CA21" s="102"/>
      <c r="CB21" s="113"/>
      <c r="CC21" s="103">
        <f t="shared" si="42"/>
        <v>1.9</v>
      </c>
      <c r="CD21" s="90">
        <f t="shared" si="43"/>
        <v>2.14</v>
      </c>
      <c r="CE21" s="86">
        <f t="shared" si="44"/>
        <v>0</v>
      </c>
      <c r="CF21" s="86">
        <f t="shared" si="45"/>
        <v>0</v>
      </c>
      <c r="CG21" s="92" t="str">
        <f t="shared" si="46"/>
        <v>#DIV/0!</v>
      </c>
      <c r="CH21" s="93"/>
      <c r="CI21" s="94"/>
      <c r="CJ21" s="94"/>
      <c r="CK21" s="103">
        <f t="shared" si="47"/>
        <v>0</v>
      </c>
      <c r="CL21" s="110"/>
      <c r="CM21" s="110"/>
      <c r="CN21" s="110"/>
      <c r="CO21" s="103">
        <f t="shared" si="48"/>
        <v>0</v>
      </c>
      <c r="CP21" s="95" t="str">
        <f t="shared" si="49"/>
        <v>#DIV/0!</v>
      </c>
      <c r="CQ21" s="86">
        <f t="shared" si="50"/>
        <v>0</v>
      </c>
      <c r="CR21" s="86">
        <f t="shared" si="51"/>
        <v>0</v>
      </c>
      <c r="CS21" s="92" t="str">
        <f t="shared" si="52"/>
        <v>#DIV/0!</v>
      </c>
      <c r="CT21" s="110"/>
      <c r="CU21" s="110"/>
      <c r="CV21" s="110"/>
      <c r="CW21" s="103">
        <f t="shared" si="53"/>
        <v>0</v>
      </c>
      <c r="CX21" s="93"/>
      <c r="CY21" s="94"/>
      <c r="CZ21" s="94"/>
      <c r="DA21" s="103">
        <f t="shared" si="54"/>
        <v>0</v>
      </c>
      <c r="DB21" s="95" t="str">
        <f t="shared" si="55"/>
        <v>#DIV/0!</v>
      </c>
    </row>
    <row r="22">
      <c r="A22" s="108">
        <v>18.0</v>
      </c>
      <c r="B22" s="74" t="s">
        <v>46</v>
      </c>
      <c r="C22" s="75">
        <v>14.0</v>
      </c>
      <c r="D22" s="98">
        <v>46042.0</v>
      </c>
      <c r="E22" s="98">
        <v>46407.0</v>
      </c>
      <c r="F22" s="99">
        <v>0.0</v>
      </c>
      <c r="G22" s="79">
        <v>1.0</v>
      </c>
      <c r="H22" s="79">
        <v>1.0</v>
      </c>
      <c r="I22" s="79">
        <v>0.0</v>
      </c>
      <c r="J22" s="79">
        <v>0.0</v>
      </c>
      <c r="K22" s="79">
        <v>1.0</v>
      </c>
      <c r="L22" s="79">
        <v>1.0</v>
      </c>
      <c r="M22" s="79">
        <v>1.0</v>
      </c>
      <c r="N22" s="79">
        <v>1.0</v>
      </c>
      <c r="O22" s="80"/>
      <c r="P22" s="80"/>
      <c r="Q22" s="81">
        <v>0.0</v>
      </c>
      <c r="R22" s="80"/>
      <c r="S22" s="81">
        <v>1.0</v>
      </c>
      <c r="T22" s="81">
        <v>0.0</v>
      </c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0"/>
      <c r="AQ22" s="100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83">
        <f t="shared" si="29"/>
        <v>12</v>
      </c>
      <c r="BE22" s="84">
        <f t="shared" si="30"/>
        <v>7</v>
      </c>
      <c r="BF22" s="85">
        <f t="shared" si="31"/>
        <v>0.5833333333</v>
      </c>
      <c r="BG22" s="101">
        <f t="shared" si="32"/>
        <v>6</v>
      </c>
      <c r="BH22" s="101">
        <f t="shared" si="33"/>
        <v>4</v>
      </c>
      <c r="BI22" s="87">
        <f t="shared" si="34"/>
        <v>6</v>
      </c>
      <c r="BJ22" s="112"/>
      <c r="BK22" s="102"/>
      <c r="BL22" s="113"/>
      <c r="BM22" s="103">
        <f t="shared" si="35"/>
        <v>0</v>
      </c>
      <c r="BN22" s="110"/>
      <c r="BO22" s="102"/>
      <c r="BP22" s="110"/>
      <c r="BQ22" s="103">
        <f t="shared" si="36"/>
        <v>0</v>
      </c>
      <c r="BR22" s="90">
        <f t="shared" si="37"/>
        <v>0.6</v>
      </c>
      <c r="BS22" s="86">
        <f t="shared" si="38"/>
        <v>1</v>
      </c>
      <c r="BT22" s="86">
        <f t="shared" si="39"/>
        <v>1</v>
      </c>
      <c r="BU22" s="87">
        <f t="shared" si="40"/>
        <v>5</v>
      </c>
      <c r="BV22" s="110"/>
      <c r="BW22" s="110"/>
      <c r="BX22" s="110"/>
      <c r="BY22" s="103">
        <f t="shared" si="41"/>
        <v>0</v>
      </c>
      <c r="BZ22" s="114">
        <v>9.2</v>
      </c>
      <c r="CA22" s="102"/>
      <c r="CB22" s="113"/>
      <c r="CC22" s="103">
        <f t="shared" si="42"/>
        <v>3.066666667</v>
      </c>
      <c r="CD22" s="90">
        <f t="shared" si="43"/>
        <v>2.34</v>
      </c>
      <c r="CE22" s="86">
        <f t="shared" si="44"/>
        <v>0</v>
      </c>
      <c r="CF22" s="86">
        <f t="shared" si="45"/>
        <v>0</v>
      </c>
      <c r="CG22" s="92" t="str">
        <f t="shared" si="46"/>
        <v>#DIV/0!</v>
      </c>
      <c r="CH22" s="93"/>
      <c r="CI22" s="94"/>
      <c r="CJ22" s="94"/>
      <c r="CK22" s="103">
        <f t="shared" si="47"/>
        <v>0</v>
      </c>
      <c r="CL22" s="110"/>
      <c r="CM22" s="110"/>
      <c r="CN22" s="110"/>
      <c r="CO22" s="103">
        <f t="shared" si="48"/>
        <v>0</v>
      </c>
      <c r="CP22" s="95" t="str">
        <f t="shared" si="49"/>
        <v>#DIV/0!</v>
      </c>
      <c r="CQ22" s="86">
        <f t="shared" si="50"/>
        <v>0</v>
      </c>
      <c r="CR22" s="86">
        <f t="shared" si="51"/>
        <v>0</v>
      </c>
      <c r="CS22" s="92" t="str">
        <f t="shared" si="52"/>
        <v>#DIV/0!</v>
      </c>
      <c r="CT22" s="110"/>
      <c r="CU22" s="110"/>
      <c r="CV22" s="110"/>
      <c r="CW22" s="103">
        <f t="shared" si="53"/>
        <v>0</v>
      </c>
      <c r="CX22" s="93"/>
      <c r="CY22" s="94"/>
      <c r="CZ22" s="94"/>
      <c r="DA22" s="103">
        <f t="shared" si="54"/>
        <v>0</v>
      </c>
      <c r="DB22" s="95" t="str">
        <f t="shared" si="55"/>
        <v>#DIV/0!</v>
      </c>
    </row>
    <row r="23">
      <c r="A23" s="73">
        <v>19.0</v>
      </c>
      <c r="B23" s="74" t="s">
        <v>47</v>
      </c>
      <c r="C23" s="75">
        <v>16.0</v>
      </c>
      <c r="D23" s="76">
        <v>45881.0</v>
      </c>
      <c r="E23" s="132">
        <v>46246.0</v>
      </c>
      <c r="F23" s="99">
        <v>1.0</v>
      </c>
      <c r="G23" s="79">
        <v>0.0</v>
      </c>
      <c r="H23" s="79">
        <v>1.0</v>
      </c>
      <c r="I23" s="79">
        <v>1.0</v>
      </c>
      <c r="J23" s="79">
        <v>0.0</v>
      </c>
      <c r="K23" s="79">
        <v>1.0</v>
      </c>
      <c r="L23" s="79">
        <v>1.0</v>
      </c>
      <c r="M23" s="79">
        <v>1.0</v>
      </c>
      <c r="N23" s="79">
        <v>1.0</v>
      </c>
      <c r="O23" s="80"/>
      <c r="P23" s="80"/>
      <c r="Q23" s="81">
        <v>1.0</v>
      </c>
      <c r="R23" s="80"/>
      <c r="S23" s="81">
        <v>1.0</v>
      </c>
      <c r="T23" s="81">
        <v>0.0</v>
      </c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0"/>
      <c r="AQ23" s="100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83">
        <f t="shared" si="29"/>
        <v>12</v>
      </c>
      <c r="BE23" s="84">
        <f t="shared" si="30"/>
        <v>9</v>
      </c>
      <c r="BF23" s="85">
        <f t="shared" si="31"/>
        <v>0.75</v>
      </c>
      <c r="BG23" s="101">
        <f t="shared" si="32"/>
        <v>8</v>
      </c>
      <c r="BH23" s="101">
        <f t="shared" si="33"/>
        <v>2</v>
      </c>
      <c r="BI23" s="87">
        <f t="shared" si="34"/>
        <v>8</v>
      </c>
      <c r="BJ23" s="112"/>
      <c r="BK23" s="102"/>
      <c r="BL23" s="113"/>
      <c r="BM23" s="103">
        <f t="shared" si="35"/>
        <v>0</v>
      </c>
      <c r="BN23" s="110"/>
      <c r="BO23" s="102"/>
      <c r="BP23" s="110"/>
      <c r="BQ23" s="103">
        <f t="shared" si="36"/>
        <v>0</v>
      </c>
      <c r="BR23" s="90">
        <f t="shared" si="37"/>
        <v>0.8</v>
      </c>
      <c r="BS23" s="86">
        <f t="shared" si="38"/>
        <v>1</v>
      </c>
      <c r="BT23" s="86">
        <f t="shared" si="39"/>
        <v>1</v>
      </c>
      <c r="BU23" s="87">
        <f t="shared" si="40"/>
        <v>5</v>
      </c>
      <c r="BV23" s="110"/>
      <c r="BW23" s="110"/>
      <c r="BX23" s="110"/>
      <c r="BY23" s="103">
        <f t="shared" si="41"/>
        <v>0</v>
      </c>
      <c r="BZ23" s="114">
        <v>8.1</v>
      </c>
      <c r="CA23" s="102"/>
      <c r="CB23" s="113"/>
      <c r="CC23" s="103">
        <f t="shared" si="42"/>
        <v>2.7</v>
      </c>
      <c r="CD23" s="90">
        <f t="shared" si="43"/>
        <v>2.12</v>
      </c>
      <c r="CE23" s="86">
        <f t="shared" si="44"/>
        <v>0</v>
      </c>
      <c r="CF23" s="86">
        <f t="shared" si="45"/>
        <v>0</v>
      </c>
      <c r="CG23" s="92" t="str">
        <f t="shared" si="46"/>
        <v>#DIV/0!</v>
      </c>
      <c r="CH23" s="93"/>
      <c r="CI23" s="94"/>
      <c r="CJ23" s="94"/>
      <c r="CK23" s="103">
        <f t="shared" si="47"/>
        <v>0</v>
      </c>
      <c r="CL23" s="110"/>
      <c r="CM23" s="110"/>
      <c r="CN23" s="110"/>
      <c r="CO23" s="103">
        <f t="shared" si="48"/>
        <v>0</v>
      </c>
      <c r="CP23" s="95" t="str">
        <f t="shared" si="49"/>
        <v>#DIV/0!</v>
      </c>
      <c r="CQ23" s="86">
        <f t="shared" si="50"/>
        <v>0</v>
      </c>
      <c r="CR23" s="86">
        <f t="shared" si="51"/>
        <v>0</v>
      </c>
      <c r="CS23" s="92" t="str">
        <f t="shared" si="52"/>
        <v>#DIV/0!</v>
      </c>
      <c r="CT23" s="110"/>
      <c r="CU23" s="110"/>
      <c r="CV23" s="110"/>
      <c r="CW23" s="103">
        <f t="shared" si="53"/>
        <v>0</v>
      </c>
      <c r="CX23" s="96">
        <v>8.5</v>
      </c>
      <c r="CY23" s="94"/>
      <c r="CZ23" s="94"/>
      <c r="DA23" s="103">
        <f t="shared" si="54"/>
        <v>2.833333333</v>
      </c>
      <c r="DB23" s="95" t="str">
        <f t="shared" si="55"/>
        <v>#DIV/0!</v>
      </c>
    </row>
    <row r="24">
      <c r="A24" s="73">
        <v>20.0</v>
      </c>
      <c r="B24" s="74" t="s">
        <v>48</v>
      </c>
      <c r="C24" s="75">
        <v>14.0</v>
      </c>
      <c r="D24" s="76">
        <v>45905.0</v>
      </c>
      <c r="E24" s="76">
        <v>46270.0</v>
      </c>
      <c r="F24" s="99">
        <v>1.0</v>
      </c>
      <c r="G24" s="79">
        <v>1.0</v>
      </c>
      <c r="H24" s="79">
        <v>0.0</v>
      </c>
      <c r="I24" s="79">
        <v>0.0</v>
      </c>
      <c r="J24" s="79">
        <v>0.0</v>
      </c>
      <c r="K24" s="79">
        <v>1.0</v>
      </c>
      <c r="L24" s="79">
        <v>1.0</v>
      </c>
      <c r="M24" s="79">
        <v>1.0</v>
      </c>
      <c r="N24" s="79">
        <v>1.0</v>
      </c>
      <c r="O24" s="80"/>
      <c r="P24" s="80"/>
      <c r="Q24" s="81">
        <v>1.0</v>
      </c>
      <c r="R24" s="80"/>
      <c r="S24" s="81">
        <v>1.0</v>
      </c>
      <c r="T24" s="81">
        <v>1.0</v>
      </c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0"/>
      <c r="AQ24" s="100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83">
        <f t="shared" si="29"/>
        <v>12</v>
      </c>
      <c r="BE24" s="84">
        <f t="shared" si="30"/>
        <v>9</v>
      </c>
      <c r="BF24" s="85">
        <f t="shared" si="31"/>
        <v>0.75</v>
      </c>
      <c r="BG24" s="101">
        <f t="shared" si="32"/>
        <v>7</v>
      </c>
      <c r="BH24" s="101">
        <f t="shared" si="33"/>
        <v>3</v>
      </c>
      <c r="BI24" s="87">
        <f t="shared" si="34"/>
        <v>7</v>
      </c>
      <c r="BJ24" s="112"/>
      <c r="BK24" s="102"/>
      <c r="BL24" s="113"/>
      <c r="BM24" s="103">
        <f t="shared" si="35"/>
        <v>0</v>
      </c>
      <c r="BN24" s="110"/>
      <c r="BO24" s="102"/>
      <c r="BP24" s="110"/>
      <c r="BQ24" s="103">
        <f t="shared" si="36"/>
        <v>0</v>
      </c>
      <c r="BR24" s="90">
        <f t="shared" si="37"/>
        <v>0.7</v>
      </c>
      <c r="BS24" s="86">
        <f t="shared" si="38"/>
        <v>2</v>
      </c>
      <c r="BT24" s="86">
        <f t="shared" si="39"/>
        <v>0</v>
      </c>
      <c r="BU24" s="87">
        <f t="shared" si="40"/>
        <v>10</v>
      </c>
      <c r="BV24" s="110"/>
      <c r="BW24" s="110"/>
      <c r="BX24" s="110"/>
      <c r="BY24" s="103">
        <f t="shared" si="41"/>
        <v>0</v>
      </c>
      <c r="BZ24" s="114">
        <v>7.8</v>
      </c>
      <c r="CA24" s="102"/>
      <c r="CB24" s="113"/>
      <c r="CC24" s="103">
        <f t="shared" si="42"/>
        <v>2.6</v>
      </c>
      <c r="CD24" s="90">
        <f t="shared" si="43"/>
        <v>2.56</v>
      </c>
      <c r="CE24" s="86">
        <f t="shared" si="44"/>
        <v>0</v>
      </c>
      <c r="CF24" s="86">
        <f t="shared" si="45"/>
        <v>0</v>
      </c>
      <c r="CG24" s="92" t="str">
        <f t="shared" si="46"/>
        <v>#DIV/0!</v>
      </c>
      <c r="CH24" s="133"/>
      <c r="CI24" s="134"/>
      <c r="CJ24" s="135">
        <v>6.3</v>
      </c>
      <c r="CK24" s="103">
        <f t="shared" si="47"/>
        <v>2.1</v>
      </c>
      <c r="CL24" s="110"/>
      <c r="CM24" s="110"/>
      <c r="CN24" s="110"/>
      <c r="CO24" s="103">
        <f t="shared" si="48"/>
        <v>0</v>
      </c>
      <c r="CP24" s="95" t="str">
        <f t="shared" si="49"/>
        <v>#DIV/0!</v>
      </c>
      <c r="CQ24" s="86">
        <f t="shared" si="50"/>
        <v>0</v>
      </c>
      <c r="CR24" s="86">
        <f t="shared" si="51"/>
        <v>0</v>
      </c>
      <c r="CS24" s="92" t="str">
        <f t="shared" si="52"/>
        <v>#DIV/0!</v>
      </c>
      <c r="CT24" s="110"/>
      <c r="CU24" s="110"/>
      <c r="CV24" s="110"/>
      <c r="CW24" s="103">
        <f t="shared" si="53"/>
        <v>0</v>
      </c>
      <c r="CX24" s="133"/>
      <c r="CY24" s="134"/>
      <c r="CZ24" s="134"/>
      <c r="DA24" s="103">
        <f t="shared" si="54"/>
        <v>0</v>
      </c>
      <c r="DB24" s="95" t="str">
        <f t="shared" si="55"/>
        <v>#DIV/0!</v>
      </c>
    </row>
    <row r="25">
      <c r="A25" s="73">
        <v>21.0</v>
      </c>
      <c r="B25" s="74" t="s">
        <v>49</v>
      </c>
      <c r="C25" s="75">
        <v>11.0</v>
      </c>
      <c r="D25" s="125">
        <v>46042.0</v>
      </c>
      <c r="E25" s="98">
        <v>46407.0</v>
      </c>
      <c r="F25" s="99">
        <v>1.0</v>
      </c>
      <c r="G25" s="79">
        <v>1.0</v>
      </c>
      <c r="H25" s="79">
        <v>1.0</v>
      </c>
      <c r="I25" s="79">
        <v>1.0</v>
      </c>
      <c r="J25" s="79">
        <v>1.0</v>
      </c>
      <c r="K25" s="79">
        <v>1.0</v>
      </c>
      <c r="L25" s="79">
        <v>1.0</v>
      </c>
      <c r="M25" s="79">
        <v>1.0</v>
      </c>
      <c r="N25" s="79">
        <v>1.0</v>
      </c>
      <c r="O25" s="80"/>
      <c r="P25" s="80"/>
      <c r="Q25" s="81">
        <v>1.0</v>
      </c>
      <c r="R25" s="80"/>
      <c r="S25" s="81">
        <v>1.0</v>
      </c>
      <c r="T25" s="81">
        <v>0.0</v>
      </c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83">
        <f t="shared" si="29"/>
        <v>12</v>
      </c>
      <c r="BE25" s="84">
        <f t="shared" si="30"/>
        <v>11</v>
      </c>
      <c r="BF25" s="85">
        <f t="shared" si="31"/>
        <v>0.9166666667</v>
      </c>
      <c r="BG25" s="101">
        <f t="shared" si="32"/>
        <v>10</v>
      </c>
      <c r="BH25" s="101">
        <f t="shared" si="33"/>
        <v>0</v>
      </c>
      <c r="BI25" s="87">
        <f t="shared" si="34"/>
        <v>10</v>
      </c>
      <c r="BJ25" s="112"/>
      <c r="BK25" s="102"/>
      <c r="BL25" s="113"/>
      <c r="BM25" s="103">
        <f t="shared" si="35"/>
        <v>0</v>
      </c>
      <c r="BN25" s="110"/>
      <c r="BO25" s="102"/>
      <c r="BP25" s="110"/>
      <c r="BQ25" s="103">
        <f t="shared" si="36"/>
        <v>0</v>
      </c>
      <c r="BR25" s="90">
        <f t="shared" si="37"/>
        <v>1</v>
      </c>
      <c r="BS25" s="86">
        <f t="shared" si="38"/>
        <v>1</v>
      </c>
      <c r="BT25" s="86">
        <f t="shared" si="39"/>
        <v>1</v>
      </c>
      <c r="BU25" s="87">
        <f t="shared" si="40"/>
        <v>5</v>
      </c>
      <c r="BV25" s="110"/>
      <c r="BW25" s="110"/>
      <c r="BX25" s="110"/>
      <c r="BY25" s="103">
        <f t="shared" si="41"/>
        <v>0</v>
      </c>
      <c r="BZ25" s="112"/>
      <c r="CA25" s="102"/>
      <c r="CB25" s="113"/>
      <c r="CC25" s="103">
        <f t="shared" si="42"/>
        <v>0</v>
      </c>
      <c r="CD25" s="90">
        <f t="shared" si="43"/>
        <v>0.5</v>
      </c>
      <c r="CE25" s="86">
        <f t="shared" si="44"/>
        <v>0</v>
      </c>
      <c r="CF25" s="86">
        <f t="shared" si="45"/>
        <v>0</v>
      </c>
      <c r="CG25" s="92" t="str">
        <f t="shared" si="46"/>
        <v>#DIV/0!</v>
      </c>
      <c r="CH25" s="93"/>
      <c r="CI25" s="94"/>
      <c r="CJ25" s="94"/>
      <c r="CK25" s="103">
        <f t="shared" si="47"/>
        <v>0</v>
      </c>
      <c r="CL25" s="110"/>
      <c r="CM25" s="110"/>
      <c r="CN25" s="110"/>
      <c r="CO25" s="103">
        <f t="shared" si="48"/>
        <v>0</v>
      </c>
      <c r="CP25" s="95" t="str">
        <f t="shared" si="49"/>
        <v>#DIV/0!</v>
      </c>
      <c r="CQ25" s="86">
        <f t="shared" si="50"/>
        <v>0</v>
      </c>
      <c r="CR25" s="86">
        <f t="shared" si="51"/>
        <v>0</v>
      </c>
      <c r="CS25" s="92" t="str">
        <f t="shared" si="52"/>
        <v>#DIV/0!</v>
      </c>
      <c r="CT25" s="110"/>
      <c r="CU25" s="110"/>
      <c r="CV25" s="110"/>
      <c r="CW25" s="103">
        <f t="shared" si="53"/>
        <v>0</v>
      </c>
      <c r="CX25" s="110"/>
      <c r="CY25" s="110"/>
      <c r="CZ25" s="110"/>
      <c r="DA25" s="103">
        <f t="shared" si="54"/>
        <v>0</v>
      </c>
      <c r="DB25" s="95" t="str">
        <f t="shared" si="55"/>
        <v>#DIV/0!</v>
      </c>
    </row>
    <row r="26">
      <c r="A26" s="108">
        <v>22.0</v>
      </c>
      <c r="B26" s="74" t="s">
        <v>50</v>
      </c>
      <c r="C26" s="75">
        <v>13.0</v>
      </c>
      <c r="D26" s="98">
        <v>45971.0</v>
      </c>
      <c r="E26" s="98">
        <v>46336.0</v>
      </c>
      <c r="F26" s="99">
        <v>0.0</v>
      </c>
      <c r="G26" s="79">
        <v>0.0</v>
      </c>
      <c r="H26" s="79">
        <v>1.0</v>
      </c>
      <c r="I26" s="79">
        <v>1.0</v>
      </c>
      <c r="J26" s="79">
        <v>0.0</v>
      </c>
      <c r="K26" s="79">
        <v>1.0</v>
      </c>
      <c r="L26" s="79">
        <v>1.0</v>
      </c>
      <c r="M26" s="79">
        <v>1.0</v>
      </c>
      <c r="N26" s="79">
        <v>0.0</v>
      </c>
      <c r="O26" s="80"/>
      <c r="P26" s="80"/>
      <c r="Q26" s="81">
        <v>1.0</v>
      </c>
      <c r="R26" s="80"/>
      <c r="S26" s="81">
        <v>1.0</v>
      </c>
      <c r="T26" s="81">
        <v>1.0</v>
      </c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0"/>
      <c r="AQ26" s="100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83">
        <f t="shared" si="29"/>
        <v>12</v>
      </c>
      <c r="BE26" s="84">
        <f t="shared" si="30"/>
        <v>8</v>
      </c>
      <c r="BF26" s="85">
        <f t="shared" si="31"/>
        <v>0.6666666667</v>
      </c>
      <c r="BG26" s="101">
        <f t="shared" si="32"/>
        <v>6</v>
      </c>
      <c r="BH26" s="101">
        <f t="shared" si="33"/>
        <v>4</v>
      </c>
      <c r="BI26" s="87">
        <f t="shared" si="34"/>
        <v>6</v>
      </c>
      <c r="BJ26" s="112"/>
      <c r="BK26" s="102"/>
      <c r="BL26" s="113"/>
      <c r="BM26" s="103">
        <f t="shared" si="35"/>
        <v>0</v>
      </c>
      <c r="BN26" s="110"/>
      <c r="BO26" s="102"/>
      <c r="BP26" s="110"/>
      <c r="BQ26" s="103">
        <f t="shared" si="36"/>
        <v>0</v>
      </c>
      <c r="BR26" s="90">
        <f t="shared" si="37"/>
        <v>0.6</v>
      </c>
      <c r="BS26" s="86">
        <f t="shared" si="38"/>
        <v>2</v>
      </c>
      <c r="BT26" s="86">
        <f t="shared" si="39"/>
        <v>0</v>
      </c>
      <c r="BU26" s="87">
        <f t="shared" si="40"/>
        <v>10</v>
      </c>
      <c r="BV26" s="110"/>
      <c r="BW26" s="110"/>
      <c r="BX26" s="110"/>
      <c r="BY26" s="103">
        <f t="shared" si="41"/>
        <v>0</v>
      </c>
      <c r="BZ26" s="114">
        <v>8.1</v>
      </c>
      <c r="CA26" s="102"/>
      <c r="CB26" s="113"/>
      <c r="CC26" s="103">
        <f t="shared" si="42"/>
        <v>2.7</v>
      </c>
      <c r="CD26" s="90">
        <f t="shared" si="43"/>
        <v>2.62</v>
      </c>
      <c r="CE26" s="86">
        <f t="shared" si="44"/>
        <v>0</v>
      </c>
      <c r="CF26" s="86">
        <f t="shared" si="45"/>
        <v>0</v>
      </c>
      <c r="CG26" s="92" t="str">
        <f t="shared" si="46"/>
        <v>#DIV/0!</v>
      </c>
      <c r="CH26" s="110"/>
      <c r="CI26" s="110"/>
      <c r="CJ26" s="110"/>
      <c r="CK26" s="103">
        <f t="shared" si="47"/>
        <v>0</v>
      </c>
      <c r="CL26" s="110"/>
      <c r="CM26" s="110"/>
      <c r="CN26" s="110"/>
      <c r="CO26" s="103">
        <f t="shared" si="48"/>
        <v>0</v>
      </c>
      <c r="CP26" s="95" t="str">
        <f t="shared" si="49"/>
        <v>#DIV/0!</v>
      </c>
      <c r="CQ26" s="86">
        <f t="shared" si="50"/>
        <v>0</v>
      </c>
      <c r="CR26" s="86">
        <f t="shared" si="51"/>
        <v>0</v>
      </c>
      <c r="CS26" s="92" t="str">
        <f t="shared" si="52"/>
        <v>#DIV/0!</v>
      </c>
      <c r="CT26" s="110"/>
      <c r="CU26" s="110"/>
      <c r="CV26" s="110"/>
      <c r="CW26" s="103">
        <f t="shared" si="53"/>
        <v>0</v>
      </c>
      <c r="CX26" s="110"/>
      <c r="CY26" s="110"/>
      <c r="CZ26" s="110"/>
      <c r="DA26" s="103">
        <f t="shared" si="54"/>
        <v>0</v>
      </c>
      <c r="DB26" s="95" t="str">
        <f t="shared" si="55"/>
        <v>#DIV/0!</v>
      </c>
    </row>
    <row r="27">
      <c r="A27" s="73">
        <v>23.0</v>
      </c>
      <c r="B27" s="74" t="s">
        <v>51</v>
      </c>
      <c r="C27" s="106"/>
      <c r="D27" s="136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80"/>
      <c r="P27" s="80"/>
      <c r="Q27" s="80"/>
      <c r="R27" s="80"/>
      <c r="S27" s="80"/>
      <c r="T27" s="81">
        <v>1.0</v>
      </c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0"/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83">
        <f t="shared" si="29"/>
        <v>1</v>
      </c>
      <c r="BE27" s="84">
        <f t="shared" si="30"/>
        <v>1</v>
      </c>
      <c r="BF27" s="85">
        <f t="shared" si="31"/>
        <v>1</v>
      </c>
      <c r="BG27" s="101">
        <f t="shared" si="32"/>
        <v>0</v>
      </c>
      <c r="BH27" s="101">
        <f t="shared" si="33"/>
        <v>0</v>
      </c>
      <c r="BI27" s="87" t="str">
        <f t="shared" si="34"/>
        <v>#DIV/0!</v>
      </c>
      <c r="BJ27" s="112"/>
      <c r="BK27" s="102"/>
      <c r="BL27" s="113"/>
      <c r="BM27" s="103">
        <f t="shared" si="35"/>
        <v>0</v>
      </c>
      <c r="BN27" s="110"/>
      <c r="BO27" s="102"/>
      <c r="BP27" s="110"/>
      <c r="BQ27" s="103">
        <f t="shared" si="36"/>
        <v>0</v>
      </c>
      <c r="BR27" s="90" t="str">
        <f t="shared" si="37"/>
        <v>#DIV/0!</v>
      </c>
      <c r="BS27" s="86">
        <f t="shared" si="38"/>
        <v>1</v>
      </c>
      <c r="BT27" s="86">
        <f t="shared" si="39"/>
        <v>0</v>
      </c>
      <c r="BU27" s="87">
        <f t="shared" si="40"/>
        <v>10</v>
      </c>
      <c r="BV27" s="110"/>
      <c r="BW27" s="110"/>
      <c r="BX27" s="110"/>
      <c r="BY27" s="103">
        <f t="shared" si="41"/>
        <v>0</v>
      </c>
      <c r="BZ27" s="112"/>
      <c r="CA27" s="102"/>
      <c r="CB27" s="113"/>
      <c r="CC27" s="103">
        <f t="shared" si="42"/>
        <v>0</v>
      </c>
      <c r="CD27" s="90">
        <f t="shared" si="43"/>
        <v>1</v>
      </c>
      <c r="CE27" s="86">
        <f t="shared" si="44"/>
        <v>0</v>
      </c>
      <c r="CF27" s="86">
        <f t="shared" si="45"/>
        <v>0</v>
      </c>
      <c r="CG27" s="92" t="str">
        <f t="shared" si="46"/>
        <v>#DIV/0!</v>
      </c>
      <c r="CH27" s="110"/>
      <c r="CI27" s="110"/>
      <c r="CJ27" s="110"/>
      <c r="CK27" s="103">
        <f t="shared" si="47"/>
        <v>0</v>
      </c>
      <c r="CL27" s="110"/>
      <c r="CM27" s="110"/>
      <c r="CN27" s="110"/>
      <c r="CO27" s="103">
        <f t="shared" si="48"/>
        <v>0</v>
      </c>
      <c r="CP27" s="95" t="str">
        <f t="shared" si="49"/>
        <v>#DIV/0!</v>
      </c>
      <c r="CQ27" s="86">
        <f t="shared" si="50"/>
        <v>0</v>
      </c>
      <c r="CR27" s="86">
        <f t="shared" si="51"/>
        <v>0</v>
      </c>
      <c r="CS27" s="92" t="str">
        <f t="shared" si="52"/>
        <v>#DIV/0!</v>
      </c>
      <c r="CT27" s="110"/>
      <c r="CU27" s="110"/>
      <c r="CV27" s="110"/>
      <c r="CW27" s="103">
        <f t="shared" si="53"/>
        <v>0</v>
      </c>
      <c r="CX27" s="110"/>
      <c r="CY27" s="110"/>
      <c r="CZ27" s="110"/>
      <c r="DA27" s="103">
        <f t="shared" si="54"/>
        <v>0</v>
      </c>
      <c r="DB27" s="95" t="str">
        <f t="shared" si="55"/>
        <v>#DIV/0!</v>
      </c>
    </row>
    <row r="28">
      <c r="A28" s="139">
        <v>24.0</v>
      </c>
      <c r="B28" s="140" t="s">
        <v>52</v>
      </c>
      <c r="C28" s="106"/>
      <c r="D28" s="141">
        <v>46141.0</v>
      </c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80"/>
      <c r="P28" s="80"/>
      <c r="Q28" s="80"/>
      <c r="R28" s="80"/>
      <c r="S28" s="80"/>
      <c r="T28" s="8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0"/>
      <c r="AQ28" s="100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83">
        <f t="shared" si="29"/>
        <v>0</v>
      </c>
      <c r="BE28" s="84">
        <f t="shared" si="30"/>
        <v>0</v>
      </c>
      <c r="BF28" s="85" t="str">
        <f t="shared" si="31"/>
        <v>#DIV/0!</v>
      </c>
      <c r="BG28" s="101">
        <f t="shared" si="32"/>
        <v>0</v>
      </c>
      <c r="BH28" s="101">
        <f t="shared" si="33"/>
        <v>0</v>
      </c>
      <c r="BI28" s="87" t="str">
        <f t="shared" si="34"/>
        <v>#DIV/0!</v>
      </c>
      <c r="BJ28" s="112"/>
      <c r="BK28" s="102"/>
      <c r="BL28" s="113"/>
      <c r="BM28" s="103">
        <f t="shared" si="35"/>
        <v>0</v>
      </c>
      <c r="BN28" s="110"/>
      <c r="BO28" s="102"/>
      <c r="BP28" s="110"/>
      <c r="BQ28" s="103">
        <f t="shared" si="36"/>
        <v>0</v>
      </c>
      <c r="BR28" s="90" t="str">
        <f t="shared" si="37"/>
        <v>#DIV/0!</v>
      </c>
      <c r="BS28" s="86">
        <f t="shared" si="38"/>
        <v>0</v>
      </c>
      <c r="BT28" s="86">
        <f t="shared" si="39"/>
        <v>0</v>
      </c>
      <c r="BU28" s="87" t="str">
        <f t="shared" si="40"/>
        <v>#DIV/0!</v>
      </c>
      <c r="BV28" s="110"/>
      <c r="BW28" s="110"/>
      <c r="BX28" s="110"/>
      <c r="BY28" s="103">
        <f t="shared" si="41"/>
        <v>0</v>
      </c>
      <c r="BZ28" s="112"/>
      <c r="CA28" s="102"/>
      <c r="CB28" s="113"/>
      <c r="CC28" s="103">
        <f t="shared" si="42"/>
        <v>0</v>
      </c>
      <c r="CD28" s="90" t="str">
        <f t="shared" si="43"/>
        <v>#DIV/0!</v>
      </c>
      <c r="CE28" s="86">
        <f t="shared" si="44"/>
        <v>0</v>
      </c>
      <c r="CF28" s="86">
        <f t="shared" si="45"/>
        <v>0</v>
      </c>
      <c r="CG28" s="92" t="str">
        <f t="shared" si="46"/>
        <v>#DIV/0!</v>
      </c>
      <c r="CH28" s="110"/>
      <c r="CI28" s="110"/>
      <c r="CJ28" s="110"/>
      <c r="CK28" s="103">
        <f t="shared" si="47"/>
        <v>0</v>
      </c>
      <c r="CL28" s="110"/>
      <c r="CM28" s="110"/>
      <c r="CN28" s="110"/>
      <c r="CO28" s="103">
        <f t="shared" si="48"/>
        <v>0</v>
      </c>
      <c r="CP28" s="95" t="str">
        <f t="shared" si="49"/>
        <v>#DIV/0!</v>
      </c>
      <c r="CQ28" s="86">
        <f t="shared" si="50"/>
        <v>0</v>
      </c>
      <c r="CR28" s="86">
        <f t="shared" si="51"/>
        <v>0</v>
      </c>
      <c r="CS28" s="92" t="str">
        <f t="shared" si="52"/>
        <v>#DIV/0!</v>
      </c>
      <c r="CT28" s="110"/>
      <c r="CU28" s="110"/>
      <c r="CV28" s="110"/>
      <c r="CW28" s="103">
        <f t="shared" si="53"/>
        <v>0</v>
      </c>
      <c r="CX28" s="110"/>
      <c r="CY28" s="110"/>
      <c r="CZ28" s="110"/>
      <c r="DA28" s="103">
        <f t="shared" si="54"/>
        <v>0</v>
      </c>
      <c r="DB28" s="95" t="str">
        <f t="shared" si="55"/>
        <v>#DIV/0!</v>
      </c>
    </row>
    <row r="29">
      <c r="E29" s="142"/>
    </row>
    <row r="30">
      <c r="E30" s="142"/>
    </row>
    <row r="31">
      <c r="E31" s="142"/>
    </row>
    <row r="32">
      <c r="E32" s="142"/>
    </row>
    <row r="33">
      <c r="E33" s="142"/>
    </row>
    <row r="34">
      <c r="E34" s="142"/>
    </row>
    <row r="35">
      <c r="E35" s="142"/>
    </row>
    <row r="36">
      <c r="E36" s="142"/>
    </row>
    <row r="37">
      <c r="E37" s="142"/>
    </row>
    <row r="38">
      <c r="E38" s="142"/>
    </row>
    <row r="39">
      <c r="E39" s="142"/>
    </row>
    <row r="40">
      <c r="E40" s="142"/>
    </row>
    <row r="41">
      <c r="E41" s="142"/>
    </row>
    <row r="42">
      <c r="E42" s="142"/>
    </row>
    <row r="43">
      <c r="E43" s="142"/>
    </row>
    <row r="44">
      <c r="E44" s="142"/>
    </row>
    <row r="45">
      <c r="E45" s="142"/>
    </row>
    <row r="46">
      <c r="E46" s="142"/>
    </row>
    <row r="47">
      <c r="E47" s="142"/>
    </row>
    <row r="48">
      <c r="E48" s="142"/>
    </row>
    <row r="49">
      <c r="E49" s="142"/>
    </row>
    <row r="50">
      <c r="E50" s="142"/>
    </row>
    <row r="51">
      <c r="E51" s="142"/>
    </row>
    <row r="52">
      <c r="E52" s="142"/>
    </row>
    <row r="53">
      <c r="E53" s="142"/>
    </row>
    <row r="54">
      <c r="E54" s="142"/>
    </row>
    <row r="55">
      <c r="E55" s="142"/>
    </row>
    <row r="56">
      <c r="E56" s="142"/>
    </row>
    <row r="57">
      <c r="E57" s="142"/>
    </row>
    <row r="58">
      <c r="E58" s="142"/>
    </row>
    <row r="59">
      <c r="E59" s="142"/>
    </row>
    <row r="60">
      <c r="E60" s="142"/>
    </row>
    <row r="61">
      <c r="E61" s="142"/>
    </row>
    <row r="62">
      <c r="E62" s="142"/>
    </row>
    <row r="63">
      <c r="E63" s="142"/>
    </row>
    <row r="64">
      <c r="E64" s="142"/>
    </row>
    <row r="65">
      <c r="E65" s="142"/>
    </row>
    <row r="66">
      <c r="E66" s="142"/>
    </row>
    <row r="67">
      <c r="E67" s="142"/>
    </row>
    <row r="68">
      <c r="E68" s="142"/>
    </row>
    <row r="69">
      <c r="E69" s="142"/>
    </row>
    <row r="70">
      <c r="E70" s="142"/>
    </row>
    <row r="71">
      <c r="E71" s="142"/>
    </row>
    <row r="72">
      <c r="E72" s="142"/>
    </row>
    <row r="73">
      <c r="E73" s="142"/>
    </row>
    <row r="74">
      <c r="E74" s="142"/>
    </row>
    <row r="75">
      <c r="E75" s="142"/>
    </row>
    <row r="76">
      <c r="E76" s="142"/>
    </row>
    <row r="77">
      <c r="E77" s="142"/>
    </row>
    <row r="78">
      <c r="E78" s="142"/>
    </row>
    <row r="79">
      <c r="E79" s="142"/>
    </row>
    <row r="80">
      <c r="E80" s="142"/>
    </row>
    <row r="81">
      <c r="E81" s="142"/>
    </row>
    <row r="82">
      <c r="E82" s="142"/>
    </row>
    <row r="83">
      <c r="E83" s="142"/>
    </row>
    <row r="84">
      <c r="E84" s="142"/>
    </row>
    <row r="85">
      <c r="E85" s="142"/>
    </row>
    <row r="86">
      <c r="E86" s="142"/>
    </row>
    <row r="87">
      <c r="E87" s="142"/>
    </row>
    <row r="88">
      <c r="E88" s="142"/>
    </row>
    <row r="89">
      <c r="E89" s="142"/>
    </row>
    <row r="90">
      <c r="E90" s="142"/>
    </row>
    <row r="91">
      <c r="E91" s="142"/>
    </row>
    <row r="92">
      <c r="E92" s="142"/>
    </row>
    <row r="93">
      <c r="E93" s="142"/>
    </row>
    <row r="94">
      <c r="E94" s="142"/>
    </row>
    <row r="95">
      <c r="E95" s="142"/>
    </row>
    <row r="96">
      <c r="E96" s="142"/>
    </row>
    <row r="97">
      <c r="E97" s="142"/>
    </row>
    <row r="98">
      <c r="E98" s="142"/>
    </row>
    <row r="99">
      <c r="E99" s="142"/>
    </row>
    <row r="100">
      <c r="E100" s="142"/>
    </row>
    <row r="101">
      <c r="E101" s="142"/>
    </row>
    <row r="102">
      <c r="E102" s="142"/>
    </row>
    <row r="103">
      <c r="E103" s="142"/>
    </row>
    <row r="104">
      <c r="E104" s="142"/>
    </row>
    <row r="105">
      <c r="E105" s="142"/>
    </row>
    <row r="106">
      <c r="E106" s="142"/>
    </row>
    <row r="107">
      <c r="E107" s="142"/>
    </row>
    <row r="108">
      <c r="E108" s="142"/>
    </row>
    <row r="109">
      <c r="E109" s="142"/>
    </row>
    <row r="110">
      <c r="E110" s="142"/>
    </row>
    <row r="111">
      <c r="E111" s="142"/>
    </row>
    <row r="112">
      <c r="E112" s="142"/>
    </row>
    <row r="113">
      <c r="E113" s="142"/>
    </row>
    <row r="114">
      <c r="E114" s="142"/>
    </row>
    <row r="115">
      <c r="E115" s="142"/>
    </row>
    <row r="116">
      <c r="E116" s="142"/>
    </row>
    <row r="117">
      <c r="E117" s="142"/>
    </row>
    <row r="118">
      <c r="E118" s="142"/>
    </row>
    <row r="119">
      <c r="E119" s="142"/>
    </row>
    <row r="120">
      <c r="E120" s="142"/>
    </row>
    <row r="121">
      <c r="E121" s="142"/>
    </row>
    <row r="122">
      <c r="E122" s="142"/>
    </row>
    <row r="123">
      <c r="E123" s="142"/>
    </row>
    <row r="124">
      <c r="E124" s="142"/>
    </row>
    <row r="125">
      <c r="E125" s="142"/>
    </row>
    <row r="126">
      <c r="E126" s="142"/>
    </row>
    <row r="127">
      <c r="E127" s="142"/>
    </row>
    <row r="128">
      <c r="E128" s="142"/>
    </row>
    <row r="129">
      <c r="E129" s="142"/>
    </row>
    <row r="130">
      <c r="E130" s="142"/>
    </row>
    <row r="131">
      <c r="E131" s="142"/>
    </row>
    <row r="132">
      <c r="E132" s="142"/>
    </row>
    <row r="133">
      <c r="E133" s="142"/>
    </row>
    <row r="134">
      <c r="E134" s="142"/>
    </row>
    <row r="135">
      <c r="E135" s="142"/>
    </row>
    <row r="136">
      <c r="E136" s="142"/>
    </row>
    <row r="137">
      <c r="E137" s="142"/>
    </row>
    <row r="138">
      <c r="E138" s="142"/>
    </row>
    <row r="139">
      <c r="E139" s="142"/>
    </row>
    <row r="140">
      <c r="E140" s="142"/>
    </row>
    <row r="141">
      <c r="E141" s="142"/>
    </row>
    <row r="142">
      <c r="E142" s="142"/>
    </row>
    <row r="143">
      <c r="E143" s="142"/>
    </row>
    <row r="144">
      <c r="E144" s="142"/>
    </row>
    <row r="145">
      <c r="E145" s="142"/>
    </row>
    <row r="146">
      <c r="E146" s="142"/>
    </row>
    <row r="147">
      <c r="E147" s="142"/>
    </row>
    <row r="148">
      <c r="E148" s="142"/>
    </row>
    <row r="149">
      <c r="E149" s="142"/>
    </row>
    <row r="150">
      <c r="E150" s="142"/>
    </row>
    <row r="151">
      <c r="E151" s="142"/>
    </row>
    <row r="152">
      <c r="E152" s="142"/>
    </row>
    <row r="153">
      <c r="E153" s="142"/>
    </row>
    <row r="154">
      <c r="E154" s="142"/>
    </row>
    <row r="155">
      <c r="E155" s="142"/>
    </row>
    <row r="156">
      <c r="E156" s="142"/>
    </row>
    <row r="157">
      <c r="E157" s="142"/>
    </row>
    <row r="158">
      <c r="E158" s="142"/>
    </row>
    <row r="159">
      <c r="E159" s="142"/>
    </row>
    <row r="160">
      <c r="E160" s="142"/>
    </row>
    <row r="161">
      <c r="E161" s="142"/>
    </row>
    <row r="162">
      <c r="E162" s="142"/>
    </row>
    <row r="163">
      <c r="E163" s="142"/>
    </row>
    <row r="164">
      <c r="E164" s="142"/>
    </row>
    <row r="165">
      <c r="E165" s="142"/>
    </row>
    <row r="166">
      <c r="E166" s="142"/>
    </row>
    <row r="167">
      <c r="E167" s="142"/>
    </row>
    <row r="168">
      <c r="E168" s="142"/>
    </row>
    <row r="169">
      <c r="E169" s="142"/>
    </row>
    <row r="170">
      <c r="E170" s="142"/>
    </row>
    <row r="171">
      <c r="E171" s="142"/>
    </row>
    <row r="172">
      <c r="E172" s="142"/>
    </row>
    <row r="173">
      <c r="E173" s="142"/>
    </row>
    <row r="174">
      <c r="E174" s="142"/>
    </row>
    <row r="175">
      <c r="E175" s="142"/>
    </row>
    <row r="176">
      <c r="E176" s="142"/>
    </row>
    <row r="177">
      <c r="E177" s="142"/>
    </row>
    <row r="178">
      <c r="E178" s="142"/>
    </row>
    <row r="179">
      <c r="E179" s="142"/>
    </row>
    <row r="180">
      <c r="E180" s="142"/>
    </row>
    <row r="181">
      <c r="E181" s="142"/>
    </row>
    <row r="182">
      <c r="E182" s="142"/>
    </row>
    <row r="183">
      <c r="E183" s="142"/>
    </row>
    <row r="184">
      <c r="E184" s="142"/>
    </row>
    <row r="185">
      <c r="E185" s="142"/>
    </row>
    <row r="186">
      <c r="E186" s="142"/>
    </row>
    <row r="187">
      <c r="E187" s="142"/>
    </row>
    <row r="188">
      <c r="E188" s="142"/>
    </row>
    <row r="189">
      <c r="E189" s="142"/>
    </row>
    <row r="190">
      <c r="E190" s="142"/>
    </row>
    <row r="191">
      <c r="E191" s="142"/>
    </row>
    <row r="192">
      <c r="E192" s="142"/>
    </row>
    <row r="193">
      <c r="E193" s="142"/>
    </row>
    <row r="194">
      <c r="E194" s="142"/>
    </row>
    <row r="195">
      <c r="E195" s="142"/>
    </row>
    <row r="196">
      <c r="E196" s="142"/>
    </row>
    <row r="197">
      <c r="E197" s="142"/>
    </row>
    <row r="198">
      <c r="E198" s="142"/>
    </row>
    <row r="199">
      <c r="E199" s="142"/>
    </row>
    <row r="200">
      <c r="E200" s="142"/>
    </row>
    <row r="201">
      <c r="E201" s="142"/>
    </row>
    <row r="202">
      <c r="E202" s="142"/>
    </row>
    <row r="203">
      <c r="E203" s="142"/>
    </row>
    <row r="204">
      <c r="E204" s="142"/>
    </row>
    <row r="205">
      <c r="E205" s="142"/>
    </row>
    <row r="206">
      <c r="E206" s="142"/>
    </row>
    <row r="207">
      <c r="E207" s="142"/>
    </row>
    <row r="208">
      <c r="E208" s="142"/>
    </row>
    <row r="209">
      <c r="E209" s="142"/>
    </row>
    <row r="210">
      <c r="E210" s="142"/>
    </row>
    <row r="211">
      <c r="E211" s="142"/>
    </row>
    <row r="212">
      <c r="E212" s="142"/>
    </row>
    <row r="213">
      <c r="E213" s="142"/>
    </row>
    <row r="214">
      <c r="E214" s="142"/>
    </row>
    <row r="215">
      <c r="E215" s="142"/>
    </row>
    <row r="216">
      <c r="E216" s="142"/>
    </row>
    <row r="217">
      <c r="E217" s="142"/>
    </row>
    <row r="218">
      <c r="E218" s="142"/>
    </row>
    <row r="219">
      <c r="E219" s="142"/>
    </row>
    <row r="220">
      <c r="E220" s="142"/>
    </row>
    <row r="221">
      <c r="E221" s="142"/>
    </row>
    <row r="222">
      <c r="E222" s="142"/>
    </row>
    <row r="223">
      <c r="E223" s="142"/>
    </row>
    <row r="224">
      <c r="E224" s="142"/>
    </row>
    <row r="225">
      <c r="E225" s="142"/>
    </row>
    <row r="226">
      <c r="E226" s="142"/>
    </row>
    <row r="227">
      <c r="E227" s="142"/>
    </row>
    <row r="228">
      <c r="E228" s="142"/>
    </row>
    <row r="229">
      <c r="E229" s="142"/>
    </row>
    <row r="230">
      <c r="E230" s="142"/>
    </row>
    <row r="231">
      <c r="E231" s="142"/>
    </row>
    <row r="232">
      <c r="E232" s="142"/>
    </row>
    <row r="233">
      <c r="E233" s="142"/>
    </row>
    <row r="234">
      <c r="E234" s="142"/>
    </row>
    <row r="235">
      <c r="E235" s="142"/>
    </row>
    <row r="236">
      <c r="E236" s="142"/>
    </row>
    <row r="237">
      <c r="E237" s="142"/>
    </row>
    <row r="238">
      <c r="E238" s="142"/>
    </row>
    <row r="239">
      <c r="E239" s="142"/>
    </row>
    <row r="240">
      <c r="E240" s="142"/>
    </row>
    <row r="241">
      <c r="E241" s="142"/>
    </row>
    <row r="242">
      <c r="E242" s="142"/>
    </row>
    <row r="243">
      <c r="E243" s="142"/>
    </row>
    <row r="244">
      <c r="E244" s="142"/>
    </row>
    <row r="245">
      <c r="E245" s="142"/>
    </row>
    <row r="246">
      <c r="E246" s="142"/>
    </row>
    <row r="247">
      <c r="E247" s="142"/>
    </row>
    <row r="248">
      <c r="E248" s="142"/>
    </row>
    <row r="249">
      <c r="E249" s="142"/>
    </row>
    <row r="250">
      <c r="E250" s="142"/>
    </row>
    <row r="251">
      <c r="E251" s="142"/>
    </row>
    <row r="252">
      <c r="E252" s="142"/>
    </row>
    <row r="253">
      <c r="E253" s="142"/>
    </row>
    <row r="254">
      <c r="E254" s="142"/>
    </row>
    <row r="255">
      <c r="E255" s="142"/>
    </row>
    <row r="256">
      <c r="E256" s="142"/>
    </row>
    <row r="257">
      <c r="E257" s="142"/>
    </row>
    <row r="258">
      <c r="E258" s="142"/>
    </row>
    <row r="259">
      <c r="E259" s="142"/>
    </row>
    <row r="260">
      <c r="E260" s="142"/>
    </row>
    <row r="261">
      <c r="E261" s="142"/>
    </row>
    <row r="262">
      <c r="E262" s="142"/>
    </row>
    <row r="263">
      <c r="E263" s="142"/>
    </row>
    <row r="264">
      <c r="E264" s="142"/>
    </row>
    <row r="265">
      <c r="E265" s="142"/>
    </row>
    <row r="266">
      <c r="E266" s="142"/>
    </row>
    <row r="267">
      <c r="E267" s="142"/>
    </row>
    <row r="268">
      <c r="E268" s="142"/>
    </row>
    <row r="269">
      <c r="E269" s="142"/>
    </row>
    <row r="270">
      <c r="E270" s="142"/>
    </row>
    <row r="271">
      <c r="E271" s="142"/>
    </row>
    <row r="272">
      <c r="E272" s="142"/>
    </row>
    <row r="273">
      <c r="E273" s="142"/>
    </row>
    <row r="274">
      <c r="E274" s="142"/>
    </row>
    <row r="275">
      <c r="E275" s="142"/>
    </row>
    <row r="276">
      <c r="E276" s="142"/>
    </row>
    <row r="277">
      <c r="E277" s="142"/>
    </row>
    <row r="278">
      <c r="E278" s="142"/>
    </row>
    <row r="279">
      <c r="E279" s="142"/>
    </row>
    <row r="280">
      <c r="E280" s="142"/>
    </row>
    <row r="281">
      <c r="E281" s="142"/>
    </row>
    <row r="282">
      <c r="E282" s="142"/>
    </row>
    <row r="283">
      <c r="E283" s="142"/>
    </row>
    <row r="284">
      <c r="E284" s="142"/>
    </row>
    <row r="285">
      <c r="E285" s="142"/>
    </row>
    <row r="286">
      <c r="E286" s="142"/>
    </row>
    <row r="287">
      <c r="E287" s="142"/>
    </row>
    <row r="288">
      <c r="E288" s="142"/>
    </row>
    <row r="289">
      <c r="E289" s="142"/>
    </row>
    <row r="290">
      <c r="E290" s="142"/>
    </row>
    <row r="291">
      <c r="E291" s="142"/>
    </row>
    <row r="292">
      <c r="E292" s="142"/>
    </row>
    <row r="293">
      <c r="E293" s="142"/>
    </row>
    <row r="294">
      <c r="E294" s="142"/>
    </row>
    <row r="295">
      <c r="E295" s="142"/>
    </row>
    <row r="296">
      <c r="E296" s="142"/>
    </row>
    <row r="297">
      <c r="E297" s="142"/>
    </row>
    <row r="298">
      <c r="E298" s="142"/>
    </row>
    <row r="299">
      <c r="E299" s="142"/>
    </row>
    <row r="300">
      <c r="E300" s="142"/>
    </row>
    <row r="301">
      <c r="E301" s="142"/>
    </row>
    <row r="302">
      <c r="E302" s="142"/>
    </row>
    <row r="303">
      <c r="E303" s="142"/>
    </row>
    <row r="304">
      <c r="E304" s="142"/>
    </row>
    <row r="305">
      <c r="E305" s="142"/>
    </row>
    <row r="306">
      <c r="E306" s="142"/>
    </row>
    <row r="307">
      <c r="E307" s="142"/>
    </row>
    <row r="308">
      <c r="E308" s="142"/>
    </row>
    <row r="309">
      <c r="E309" s="142"/>
    </row>
    <row r="310">
      <c r="E310" s="142"/>
    </row>
    <row r="311">
      <c r="E311" s="142"/>
    </row>
    <row r="312">
      <c r="E312" s="142"/>
    </row>
    <row r="313">
      <c r="E313" s="142"/>
    </row>
    <row r="314">
      <c r="E314" s="142"/>
    </row>
    <row r="315">
      <c r="E315" s="142"/>
    </row>
    <row r="316">
      <c r="E316" s="142"/>
    </row>
    <row r="317">
      <c r="E317" s="142"/>
    </row>
    <row r="318">
      <c r="E318" s="142"/>
    </row>
    <row r="319">
      <c r="E319" s="142"/>
    </row>
    <row r="320">
      <c r="E320" s="142"/>
    </row>
    <row r="321">
      <c r="E321" s="142"/>
    </row>
    <row r="322">
      <c r="E322" s="142"/>
    </row>
    <row r="323">
      <c r="E323" s="142"/>
    </row>
    <row r="324">
      <c r="E324" s="142"/>
    </row>
    <row r="325">
      <c r="E325" s="142"/>
    </row>
    <row r="326">
      <c r="E326" s="142"/>
    </row>
    <row r="327">
      <c r="E327" s="142"/>
    </row>
    <row r="328">
      <c r="E328" s="142"/>
    </row>
    <row r="329">
      <c r="E329" s="142"/>
    </row>
    <row r="330">
      <c r="E330" s="142"/>
    </row>
    <row r="331">
      <c r="E331" s="142"/>
    </row>
    <row r="332">
      <c r="E332" s="142"/>
    </row>
    <row r="333">
      <c r="E333" s="142"/>
    </row>
    <row r="334">
      <c r="E334" s="142"/>
    </row>
    <row r="335">
      <c r="E335" s="142"/>
    </row>
    <row r="336">
      <c r="E336" s="142"/>
    </row>
    <row r="337">
      <c r="E337" s="142"/>
    </row>
    <row r="338">
      <c r="E338" s="142"/>
    </row>
    <row r="339">
      <c r="E339" s="142"/>
    </row>
    <row r="340">
      <c r="E340" s="142"/>
    </row>
    <row r="341">
      <c r="E341" s="142"/>
    </row>
    <row r="342">
      <c r="E342" s="142"/>
    </row>
    <row r="343">
      <c r="E343" s="142"/>
    </row>
    <row r="344">
      <c r="E344" s="142"/>
    </row>
    <row r="345">
      <c r="E345" s="142"/>
    </row>
    <row r="346">
      <c r="E346" s="142"/>
    </row>
    <row r="347">
      <c r="E347" s="142"/>
    </row>
    <row r="348">
      <c r="E348" s="142"/>
    </row>
    <row r="349">
      <c r="E349" s="142"/>
    </row>
    <row r="350">
      <c r="E350" s="142"/>
    </row>
    <row r="351">
      <c r="E351" s="142"/>
    </row>
    <row r="352">
      <c r="E352" s="142"/>
    </row>
    <row r="353">
      <c r="E353" s="142"/>
    </row>
    <row r="354">
      <c r="E354" s="142"/>
    </row>
    <row r="355">
      <c r="E355" s="142"/>
    </row>
    <row r="356">
      <c r="E356" s="142"/>
    </row>
    <row r="357">
      <c r="E357" s="142"/>
    </row>
    <row r="358">
      <c r="E358" s="142"/>
    </row>
    <row r="359">
      <c r="E359" s="142"/>
    </row>
    <row r="360">
      <c r="E360" s="142"/>
    </row>
    <row r="361">
      <c r="E361" s="142"/>
    </row>
    <row r="362">
      <c r="E362" s="142"/>
    </row>
    <row r="363">
      <c r="E363" s="142"/>
    </row>
    <row r="364">
      <c r="E364" s="142"/>
    </row>
    <row r="365">
      <c r="E365" s="142"/>
    </row>
    <row r="366">
      <c r="E366" s="142"/>
    </row>
    <row r="367">
      <c r="E367" s="142"/>
    </row>
    <row r="368">
      <c r="E368" s="142"/>
    </row>
    <row r="369">
      <c r="E369" s="142"/>
    </row>
    <row r="370">
      <c r="E370" s="142"/>
    </row>
    <row r="371">
      <c r="E371" s="142"/>
    </row>
    <row r="372">
      <c r="E372" s="142"/>
    </row>
    <row r="373">
      <c r="E373" s="142"/>
    </row>
    <row r="374">
      <c r="E374" s="142"/>
    </row>
    <row r="375">
      <c r="E375" s="142"/>
    </row>
    <row r="376">
      <c r="E376" s="142"/>
    </row>
    <row r="377">
      <c r="E377" s="142"/>
    </row>
    <row r="378">
      <c r="E378" s="142"/>
    </row>
    <row r="379">
      <c r="E379" s="142"/>
    </row>
    <row r="380">
      <c r="E380" s="142"/>
    </row>
    <row r="381">
      <c r="E381" s="142"/>
    </row>
    <row r="382">
      <c r="E382" s="142"/>
    </row>
    <row r="383">
      <c r="E383" s="142"/>
    </row>
    <row r="384">
      <c r="E384" s="142"/>
    </row>
    <row r="385">
      <c r="E385" s="142"/>
    </row>
    <row r="386">
      <c r="E386" s="142"/>
    </row>
    <row r="387">
      <c r="E387" s="142"/>
    </row>
    <row r="388">
      <c r="E388" s="142"/>
    </row>
    <row r="389">
      <c r="E389" s="142"/>
    </row>
    <row r="390">
      <c r="E390" s="142"/>
    </row>
    <row r="391">
      <c r="E391" s="142"/>
    </row>
    <row r="392">
      <c r="E392" s="142"/>
    </row>
    <row r="393">
      <c r="E393" s="142"/>
    </row>
    <row r="394">
      <c r="E394" s="142"/>
    </row>
    <row r="395">
      <c r="E395" s="142"/>
    </row>
    <row r="396">
      <c r="E396" s="142"/>
    </row>
    <row r="397">
      <c r="E397" s="142"/>
    </row>
    <row r="398">
      <c r="E398" s="142"/>
    </row>
    <row r="399">
      <c r="E399" s="142"/>
    </row>
    <row r="400">
      <c r="E400" s="142"/>
    </row>
    <row r="401">
      <c r="E401" s="142"/>
    </row>
    <row r="402">
      <c r="E402" s="142"/>
    </row>
    <row r="403">
      <c r="E403" s="142"/>
    </row>
    <row r="404">
      <c r="E404" s="142"/>
    </row>
    <row r="405">
      <c r="E405" s="142"/>
    </row>
    <row r="406">
      <c r="E406" s="142"/>
    </row>
    <row r="407">
      <c r="E407" s="142"/>
    </row>
    <row r="408">
      <c r="E408" s="142"/>
    </row>
    <row r="409">
      <c r="E409" s="142"/>
    </row>
    <row r="410">
      <c r="E410" s="142"/>
    </row>
    <row r="411">
      <c r="E411" s="142"/>
    </row>
    <row r="412">
      <c r="E412" s="142"/>
    </row>
    <row r="413">
      <c r="E413" s="142"/>
    </row>
    <row r="414">
      <c r="E414" s="142"/>
    </row>
    <row r="415">
      <c r="E415" s="142"/>
    </row>
    <row r="416">
      <c r="E416" s="142"/>
    </row>
    <row r="417">
      <c r="E417" s="142"/>
    </row>
    <row r="418">
      <c r="E418" s="142"/>
    </row>
    <row r="419">
      <c r="E419" s="142"/>
    </row>
    <row r="420">
      <c r="E420" s="142"/>
    </row>
    <row r="421">
      <c r="E421" s="142"/>
    </row>
    <row r="422">
      <c r="E422" s="142"/>
    </row>
    <row r="423">
      <c r="E423" s="142"/>
    </row>
    <row r="424">
      <c r="E424" s="142"/>
    </row>
    <row r="425">
      <c r="E425" s="142"/>
    </row>
    <row r="426">
      <c r="E426" s="142"/>
    </row>
    <row r="427">
      <c r="E427" s="142"/>
    </row>
    <row r="428">
      <c r="E428" s="142"/>
    </row>
    <row r="429">
      <c r="E429" s="142"/>
    </row>
    <row r="430">
      <c r="E430" s="142"/>
    </row>
    <row r="431">
      <c r="E431" s="142"/>
    </row>
    <row r="432">
      <c r="E432" s="142"/>
    </row>
    <row r="433">
      <c r="E433" s="142"/>
    </row>
    <row r="434">
      <c r="E434" s="142"/>
    </row>
    <row r="435">
      <c r="E435" s="142"/>
    </row>
    <row r="436">
      <c r="E436" s="142"/>
    </row>
    <row r="437">
      <c r="E437" s="142"/>
    </row>
    <row r="438">
      <c r="E438" s="142"/>
    </row>
    <row r="439">
      <c r="E439" s="142"/>
    </row>
    <row r="440">
      <c r="E440" s="142"/>
    </row>
    <row r="441">
      <c r="E441" s="142"/>
    </row>
    <row r="442">
      <c r="E442" s="142"/>
    </row>
    <row r="443">
      <c r="E443" s="142"/>
    </row>
    <row r="444">
      <c r="E444" s="142"/>
    </row>
    <row r="445">
      <c r="E445" s="142"/>
    </row>
    <row r="446">
      <c r="E446" s="142"/>
    </row>
    <row r="447">
      <c r="E447" s="142"/>
    </row>
    <row r="448">
      <c r="E448" s="142"/>
    </row>
    <row r="449">
      <c r="E449" s="142"/>
    </row>
    <row r="450">
      <c r="E450" s="142"/>
    </row>
    <row r="451">
      <c r="E451" s="142"/>
    </row>
    <row r="452">
      <c r="E452" s="142"/>
    </row>
    <row r="453">
      <c r="E453" s="142"/>
    </row>
    <row r="454">
      <c r="E454" s="142"/>
    </row>
    <row r="455">
      <c r="E455" s="142"/>
    </row>
    <row r="456">
      <c r="E456" s="142"/>
    </row>
    <row r="457">
      <c r="E457" s="142"/>
    </row>
    <row r="458">
      <c r="E458" s="142"/>
    </row>
    <row r="459">
      <c r="E459" s="142"/>
    </row>
    <row r="460">
      <c r="E460" s="142"/>
    </row>
    <row r="461">
      <c r="E461" s="142"/>
    </row>
    <row r="462">
      <c r="E462" s="142"/>
    </row>
    <row r="463">
      <c r="E463" s="142"/>
    </row>
    <row r="464">
      <c r="E464" s="142"/>
    </row>
    <row r="465">
      <c r="E465" s="142"/>
    </row>
    <row r="466">
      <c r="E466" s="142"/>
    </row>
    <row r="467">
      <c r="E467" s="142"/>
    </row>
    <row r="468">
      <c r="E468" s="142"/>
    </row>
    <row r="469">
      <c r="E469" s="142"/>
    </row>
    <row r="470">
      <c r="E470" s="142"/>
    </row>
    <row r="471">
      <c r="E471" s="142"/>
    </row>
    <row r="472">
      <c r="E472" s="142"/>
    </row>
    <row r="473">
      <c r="E473" s="142"/>
    </row>
    <row r="474">
      <c r="E474" s="142"/>
    </row>
    <row r="475">
      <c r="E475" s="142"/>
    </row>
    <row r="476">
      <c r="E476" s="142"/>
    </row>
    <row r="477">
      <c r="E477" s="142"/>
    </row>
    <row r="478">
      <c r="E478" s="142"/>
    </row>
    <row r="479">
      <c r="E479" s="142"/>
    </row>
    <row r="480">
      <c r="E480" s="142"/>
    </row>
    <row r="481">
      <c r="E481" s="142"/>
    </row>
    <row r="482">
      <c r="E482" s="142"/>
    </row>
    <row r="483">
      <c r="E483" s="142"/>
    </row>
    <row r="484">
      <c r="E484" s="142"/>
    </row>
    <row r="485">
      <c r="E485" s="142"/>
    </row>
    <row r="486">
      <c r="E486" s="142"/>
    </row>
    <row r="487">
      <c r="E487" s="142"/>
    </row>
    <row r="488">
      <c r="E488" s="142"/>
    </row>
    <row r="489">
      <c r="E489" s="142"/>
    </row>
    <row r="490">
      <c r="E490" s="142"/>
    </row>
    <row r="491">
      <c r="E491" s="142"/>
    </row>
    <row r="492">
      <c r="E492" s="142"/>
    </row>
    <row r="493">
      <c r="E493" s="142"/>
    </row>
    <row r="494">
      <c r="E494" s="142"/>
    </row>
    <row r="495">
      <c r="E495" s="142"/>
    </row>
    <row r="496">
      <c r="E496" s="142"/>
    </row>
    <row r="497">
      <c r="E497" s="142"/>
    </row>
    <row r="498">
      <c r="E498" s="142"/>
    </row>
    <row r="499">
      <c r="E499" s="142"/>
    </row>
    <row r="500">
      <c r="E500" s="142"/>
    </row>
    <row r="501">
      <c r="E501" s="142"/>
    </row>
    <row r="502">
      <c r="E502" s="142"/>
    </row>
    <row r="503">
      <c r="E503" s="142"/>
    </row>
    <row r="504">
      <c r="E504" s="142"/>
    </row>
    <row r="505">
      <c r="E505" s="142"/>
    </row>
    <row r="506">
      <c r="E506" s="142"/>
    </row>
    <row r="507">
      <c r="E507" s="142"/>
    </row>
    <row r="508">
      <c r="E508" s="142"/>
    </row>
    <row r="509">
      <c r="E509" s="142"/>
    </row>
    <row r="510">
      <c r="E510" s="142"/>
    </row>
    <row r="511">
      <c r="E511" s="142"/>
    </row>
    <row r="512">
      <c r="E512" s="142"/>
    </row>
    <row r="513">
      <c r="E513" s="142"/>
    </row>
    <row r="514">
      <c r="E514" s="142"/>
    </row>
    <row r="515">
      <c r="E515" s="142"/>
    </row>
    <row r="516">
      <c r="E516" s="142"/>
    </row>
    <row r="517">
      <c r="E517" s="142"/>
    </row>
    <row r="518">
      <c r="E518" s="142"/>
    </row>
    <row r="519">
      <c r="E519" s="142"/>
    </row>
    <row r="520">
      <c r="E520" s="142"/>
    </row>
    <row r="521">
      <c r="E521" s="142"/>
    </row>
    <row r="522">
      <c r="E522" s="142"/>
    </row>
    <row r="523">
      <c r="E523" s="142"/>
    </row>
    <row r="524">
      <c r="E524" s="142"/>
    </row>
    <row r="525">
      <c r="E525" s="142"/>
    </row>
    <row r="526">
      <c r="E526" s="142"/>
    </row>
    <row r="527">
      <c r="E527" s="142"/>
    </row>
    <row r="528">
      <c r="E528" s="142"/>
    </row>
    <row r="529">
      <c r="E529" s="142"/>
    </row>
    <row r="530">
      <c r="E530" s="142"/>
    </row>
    <row r="531">
      <c r="E531" s="142"/>
    </row>
    <row r="532">
      <c r="E532" s="142"/>
    </row>
    <row r="533">
      <c r="E533" s="142"/>
    </row>
    <row r="534">
      <c r="E534" s="142"/>
    </row>
    <row r="535">
      <c r="E535" s="142"/>
    </row>
    <row r="536">
      <c r="E536" s="142"/>
    </row>
    <row r="537">
      <c r="E537" s="142"/>
    </row>
    <row r="538">
      <c r="E538" s="142"/>
    </row>
    <row r="539">
      <c r="E539" s="142"/>
    </row>
    <row r="540">
      <c r="E540" s="142"/>
    </row>
    <row r="541">
      <c r="E541" s="142"/>
    </row>
    <row r="542">
      <c r="E542" s="142"/>
    </row>
    <row r="543">
      <c r="E543" s="142"/>
    </row>
    <row r="544">
      <c r="E544" s="142"/>
    </row>
    <row r="545">
      <c r="E545" s="142"/>
    </row>
    <row r="546">
      <c r="E546" s="142"/>
    </row>
    <row r="547">
      <c r="E547" s="142"/>
    </row>
    <row r="548">
      <c r="E548" s="142"/>
    </row>
    <row r="549">
      <c r="E549" s="142"/>
    </row>
    <row r="550">
      <c r="E550" s="142"/>
    </row>
    <row r="551">
      <c r="E551" s="142"/>
    </row>
    <row r="552">
      <c r="E552" s="142"/>
    </row>
    <row r="553">
      <c r="E553" s="142"/>
    </row>
    <row r="554">
      <c r="E554" s="142"/>
    </row>
    <row r="555">
      <c r="E555" s="142"/>
    </row>
    <row r="556">
      <c r="E556" s="142"/>
    </row>
    <row r="557">
      <c r="E557" s="142"/>
    </row>
    <row r="558">
      <c r="E558" s="142"/>
    </row>
    <row r="559">
      <c r="E559" s="142"/>
    </row>
    <row r="560">
      <c r="E560" s="142"/>
    </row>
    <row r="561">
      <c r="E561" s="142"/>
    </row>
    <row r="562">
      <c r="E562" s="142"/>
    </row>
    <row r="563">
      <c r="E563" s="142"/>
    </row>
    <row r="564">
      <c r="E564" s="142"/>
    </row>
    <row r="565">
      <c r="E565" s="142"/>
    </row>
    <row r="566">
      <c r="E566" s="142"/>
    </row>
    <row r="567">
      <c r="E567" s="142"/>
    </row>
    <row r="568">
      <c r="E568" s="142"/>
    </row>
    <row r="569">
      <c r="E569" s="142"/>
    </row>
    <row r="570">
      <c r="E570" s="142"/>
    </row>
    <row r="571">
      <c r="E571" s="142"/>
    </row>
    <row r="572">
      <c r="E572" s="142"/>
    </row>
    <row r="573">
      <c r="E573" s="142"/>
    </row>
    <row r="574">
      <c r="E574" s="142"/>
    </row>
    <row r="575">
      <c r="E575" s="142"/>
    </row>
    <row r="576">
      <c r="E576" s="142"/>
    </row>
    <row r="577">
      <c r="E577" s="142"/>
    </row>
    <row r="578">
      <c r="E578" s="142"/>
    </row>
    <row r="579">
      <c r="E579" s="142"/>
    </row>
    <row r="580">
      <c r="E580" s="142"/>
    </row>
    <row r="581">
      <c r="E581" s="142"/>
    </row>
    <row r="582">
      <c r="E582" s="142"/>
    </row>
    <row r="583">
      <c r="E583" s="142"/>
    </row>
    <row r="584">
      <c r="E584" s="142"/>
    </row>
    <row r="585">
      <c r="E585" s="142"/>
    </row>
    <row r="586">
      <c r="E586" s="142"/>
    </row>
    <row r="587">
      <c r="E587" s="142"/>
    </row>
    <row r="588">
      <c r="E588" s="142"/>
    </row>
    <row r="589">
      <c r="E589" s="142"/>
    </row>
    <row r="590">
      <c r="E590" s="142"/>
    </row>
    <row r="591">
      <c r="E591" s="142"/>
    </row>
    <row r="592">
      <c r="E592" s="142"/>
    </row>
    <row r="593">
      <c r="E593" s="142"/>
    </row>
    <row r="594">
      <c r="E594" s="142"/>
    </row>
    <row r="595">
      <c r="E595" s="142"/>
    </row>
    <row r="596">
      <c r="E596" s="142"/>
    </row>
    <row r="597">
      <c r="E597" s="142"/>
    </row>
    <row r="598">
      <c r="E598" s="142"/>
    </row>
    <row r="599">
      <c r="E599" s="142"/>
    </row>
    <row r="600">
      <c r="E600" s="142"/>
    </row>
    <row r="601">
      <c r="E601" s="142"/>
    </row>
    <row r="602">
      <c r="E602" s="142"/>
    </row>
    <row r="603">
      <c r="E603" s="142"/>
    </row>
    <row r="604">
      <c r="E604" s="142"/>
    </row>
    <row r="605">
      <c r="E605" s="142"/>
    </row>
    <row r="606">
      <c r="E606" s="142"/>
    </row>
    <row r="607">
      <c r="E607" s="142"/>
    </row>
    <row r="608">
      <c r="E608" s="142"/>
    </row>
    <row r="609">
      <c r="E609" s="142"/>
    </row>
    <row r="610">
      <c r="E610" s="142"/>
    </row>
    <row r="611">
      <c r="E611" s="142"/>
    </row>
    <row r="612">
      <c r="E612" s="142"/>
    </row>
    <row r="613">
      <c r="E613" s="142"/>
    </row>
    <row r="614">
      <c r="E614" s="142"/>
    </row>
    <row r="615">
      <c r="E615" s="142"/>
    </row>
    <row r="616">
      <c r="E616" s="142"/>
    </row>
    <row r="617">
      <c r="E617" s="142"/>
    </row>
    <row r="618">
      <c r="E618" s="142"/>
    </row>
    <row r="619">
      <c r="E619" s="142"/>
    </row>
    <row r="620">
      <c r="E620" s="142"/>
    </row>
    <row r="621">
      <c r="E621" s="142"/>
    </row>
    <row r="622">
      <c r="E622" s="142"/>
    </row>
    <row r="623">
      <c r="E623" s="142"/>
    </row>
    <row r="624">
      <c r="E624" s="142"/>
    </row>
    <row r="625">
      <c r="E625" s="142"/>
    </row>
    <row r="626">
      <c r="E626" s="142"/>
    </row>
    <row r="627">
      <c r="E627" s="142"/>
    </row>
    <row r="628">
      <c r="E628" s="142"/>
    </row>
    <row r="629">
      <c r="E629" s="142"/>
    </row>
    <row r="630">
      <c r="E630" s="142"/>
    </row>
    <row r="631">
      <c r="E631" s="142"/>
    </row>
    <row r="632">
      <c r="E632" s="142"/>
    </row>
    <row r="633">
      <c r="E633" s="142"/>
    </row>
    <row r="634">
      <c r="E634" s="142"/>
    </row>
    <row r="635">
      <c r="E635" s="142"/>
    </row>
    <row r="636">
      <c r="E636" s="142"/>
    </row>
    <row r="637">
      <c r="E637" s="142"/>
    </row>
    <row r="638">
      <c r="E638" s="142"/>
    </row>
    <row r="639">
      <c r="E639" s="142"/>
    </row>
    <row r="640">
      <c r="E640" s="142"/>
    </row>
    <row r="641">
      <c r="E641" s="142"/>
    </row>
    <row r="642">
      <c r="E642" s="142"/>
    </row>
    <row r="643">
      <c r="E643" s="142"/>
    </row>
    <row r="644">
      <c r="E644" s="142"/>
    </row>
    <row r="645">
      <c r="E645" s="142"/>
    </row>
    <row r="646">
      <c r="E646" s="142"/>
    </row>
    <row r="647">
      <c r="E647" s="142"/>
    </row>
    <row r="648">
      <c r="E648" s="142"/>
    </row>
    <row r="649">
      <c r="E649" s="142"/>
    </row>
    <row r="650">
      <c r="E650" s="142"/>
    </row>
    <row r="651">
      <c r="E651" s="142"/>
    </row>
    <row r="652">
      <c r="E652" s="142"/>
    </row>
    <row r="653">
      <c r="E653" s="142"/>
    </row>
    <row r="654">
      <c r="E654" s="142"/>
    </row>
    <row r="655">
      <c r="E655" s="142"/>
    </row>
    <row r="656">
      <c r="E656" s="142"/>
    </row>
    <row r="657">
      <c r="E657" s="142"/>
    </row>
    <row r="658">
      <c r="E658" s="142"/>
    </row>
    <row r="659">
      <c r="E659" s="142"/>
    </row>
    <row r="660">
      <c r="E660" s="142"/>
    </row>
    <row r="661">
      <c r="E661" s="142"/>
    </row>
    <row r="662">
      <c r="E662" s="142"/>
    </row>
    <row r="663">
      <c r="E663" s="142"/>
    </row>
    <row r="664">
      <c r="E664" s="142"/>
    </row>
    <row r="665">
      <c r="E665" s="142"/>
    </row>
    <row r="666">
      <c r="E666" s="142"/>
    </row>
    <row r="667">
      <c r="E667" s="142"/>
    </row>
    <row r="668">
      <c r="E668" s="142"/>
    </row>
    <row r="669">
      <c r="E669" s="142"/>
    </row>
    <row r="670">
      <c r="E670" s="142"/>
    </row>
    <row r="671">
      <c r="E671" s="142"/>
    </row>
    <row r="672">
      <c r="E672" s="142"/>
    </row>
    <row r="673">
      <c r="E673" s="142"/>
    </row>
    <row r="674">
      <c r="E674" s="142"/>
    </row>
    <row r="675">
      <c r="E675" s="142"/>
    </row>
    <row r="676">
      <c r="E676" s="142"/>
    </row>
    <row r="677">
      <c r="E677" s="142"/>
    </row>
    <row r="678">
      <c r="E678" s="142"/>
    </row>
    <row r="679">
      <c r="E679" s="142"/>
    </row>
    <row r="680">
      <c r="E680" s="142"/>
    </row>
    <row r="681">
      <c r="E681" s="142"/>
    </row>
    <row r="682">
      <c r="E682" s="142"/>
    </row>
    <row r="683">
      <c r="E683" s="142"/>
    </row>
    <row r="684">
      <c r="E684" s="142"/>
    </row>
    <row r="685">
      <c r="E685" s="142"/>
    </row>
    <row r="686">
      <c r="E686" s="142"/>
    </row>
    <row r="687">
      <c r="E687" s="142"/>
    </row>
    <row r="688">
      <c r="E688" s="142"/>
    </row>
    <row r="689">
      <c r="E689" s="142"/>
    </row>
    <row r="690">
      <c r="E690" s="142"/>
    </row>
    <row r="691">
      <c r="E691" s="142"/>
    </row>
    <row r="692">
      <c r="E692" s="142"/>
    </row>
    <row r="693">
      <c r="E693" s="142"/>
    </row>
    <row r="694">
      <c r="E694" s="142"/>
    </row>
    <row r="695">
      <c r="E695" s="142"/>
    </row>
    <row r="696">
      <c r="E696" s="142"/>
    </row>
    <row r="697">
      <c r="E697" s="142"/>
    </row>
    <row r="698">
      <c r="E698" s="142"/>
    </row>
    <row r="699">
      <c r="E699" s="142"/>
    </row>
    <row r="700">
      <c r="E700" s="142"/>
    </row>
    <row r="701">
      <c r="E701" s="142"/>
    </row>
    <row r="702">
      <c r="E702" s="142"/>
    </row>
    <row r="703">
      <c r="E703" s="142"/>
    </row>
    <row r="704">
      <c r="E704" s="142"/>
    </row>
    <row r="705">
      <c r="E705" s="142"/>
    </row>
    <row r="706">
      <c r="E706" s="142"/>
    </row>
    <row r="707">
      <c r="E707" s="142"/>
    </row>
    <row r="708">
      <c r="E708" s="142"/>
    </row>
    <row r="709">
      <c r="E709" s="142"/>
    </row>
    <row r="710">
      <c r="E710" s="142"/>
    </row>
    <row r="711">
      <c r="E711" s="142"/>
    </row>
    <row r="712">
      <c r="E712" s="142"/>
    </row>
    <row r="713">
      <c r="E713" s="142"/>
    </row>
    <row r="714">
      <c r="E714" s="142"/>
    </row>
    <row r="715">
      <c r="E715" s="142"/>
    </row>
    <row r="716">
      <c r="E716" s="142"/>
    </row>
    <row r="717">
      <c r="E717" s="142"/>
    </row>
    <row r="718">
      <c r="E718" s="142"/>
    </row>
    <row r="719">
      <c r="E719" s="142"/>
    </row>
    <row r="720">
      <c r="E720" s="142"/>
    </row>
    <row r="721">
      <c r="E721" s="142"/>
    </row>
    <row r="722">
      <c r="E722" s="142"/>
    </row>
    <row r="723">
      <c r="E723" s="142"/>
    </row>
    <row r="724">
      <c r="E724" s="142"/>
    </row>
    <row r="725">
      <c r="E725" s="142"/>
    </row>
    <row r="726">
      <c r="E726" s="142"/>
    </row>
    <row r="727">
      <c r="E727" s="142"/>
    </row>
    <row r="728">
      <c r="E728" s="142"/>
    </row>
    <row r="729">
      <c r="E729" s="142"/>
    </row>
    <row r="730">
      <c r="E730" s="142"/>
    </row>
    <row r="731">
      <c r="E731" s="142"/>
    </row>
    <row r="732">
      <c r="E732" s="142"/>
    </row>
    <row r="733">
      <c r="E733" s="142"/>
    </row>
    <row r="734">
      <c r="E734" s="142"/>
    </row>
    <row r="735">
      <c r="E735" s="142"/>
    </row>
    <row r="736">
      <c r="E736" s="142"/>
    </row>
    <row r="737">
      <c r="E737" s="142"/>
    </row>
    <row r="738">
      <c r="E738" s="142"/>
    </row>
    <row r="739">
      <c r="E739" s="142"/>
    </row>
    <row r="740">
      <c r="E740" s="142"/>
    </row>
    <row r="741">
      <c r="E741" s="142"/>
    </row>
    <row r="742">
      <c r="E742" s="142"/>
    </row>
    <row r="743">
      <c r="E743" s="142"/>
    </row>
    <row r="744">
      <c r="E744" s="142"/>
    </row>
    <row r="745">
      <c r="E745" s="142"/>
    </row>
    <row r="746">
      <c r="E746" s="142"/>
    </row>
    <row r="747">
      <c r="E747" s="142"/>
    </row>
    <row r="748">
      <c r="E748" s="142"/>
    </row>
    <row r="749">
      <c r="E749" s="142"/>
    </row>
    <row r="750">
      <c r="E750" s="142"/>
    </row>
    <row r="751">
      <c r="E751" s="142"/>
    </row>
    <row r="752">
      <c r="E752" s="142"/>
    </row>
    <row r="753">
      <c r="E753" s="142"/>
    </row>
    <row r="754">
      <c r="E754" s="142"/>
    </row>
    <row r="755">
      <c r="E755" s="142"/>
    </row>
    <row r="756">
      <c r="E756" s="142"/>
    </row>
    <row r="757">
      <c r="E757" s="142"/>
    </row>
    <row r="758">
      <c r="E758" s="142"/>
    </row>
    <row r="759">
      <c r="E759" s="142"/>
    </row>
    <row r="760">
      <c r="E760" s="142"/>
    </row>
    <row r="761">
      <c r="E761" s="142"/>
    </row>
    <row r="762">
      <c r="E762" s="142"/>
    </row>
    <row r="763">
      <c r="E763" s="142"/>
    </row>
    <row r="764">
      <c r="E764" s="142"/>
    </row>
    <row r="765">
      <c r="E765" s="142"/>
    </row>
    <row r="766">
      <c r="E766" s="142"/>
    </row>
    <row r="767">
      <c r="E767" s="142"/>
    </row>
    <row r="768">
      <c r="E768" s="142"/>
    </row>
    <row r="769">
      <c r="E769" s="142"/>
    </row>
    <row r="770">
      <c r="E770" s="142"/>
    </row>
    <row r="771">
      <c r="E771" s="142"/>
    </row>
    <row r="772">
      <c r="E772" s="142"/>
    </row>
    <row r="773">
      <c r="E773" s="142"/>
    </row>
    <row r="774">
      <c r="E774" s="142"/>
    </row>
    <row r="775">
      <c r="E775" s="142"/>
    </row>
    <row r="776">
      <c r="E776" s="142"/>
    </row>
    <row r="777">
      <c r="E777" s="142"/>
    </row>
    <row r="778">
      <c r="E778" s="142"/>
    </row>
    <row r="779">
      <c r="E779" s="142"/>
    </row>
    <row r="780">
      <c r="E780" s="142"/>
    </row>
    <row r="781">
      <c r="E781" s="142"/>
    </row>
    <row r="782">
      <c r="E782" s="142"/>
    </row>
    <row r="783">
      <c r="E783" s="142"/>
    </row>
    <row r="784">
      <c r="E784" s="142"/>
    </row>
    <row r="785">
      <c r="E785" s="142"/>
    </row>
    <row r="786">
      <c r="E786" s="142"/>
    </row>
    <row r="787">
      <c r="E787" s="142"/>
    </row>
    <row r="788">
      <c r="E788" s="142"/>
    </row>
    <row r="789">
      <c r="E789" s="142"/>
    </row>
    <row r="790">
      <c r="E790" s="142"/>
    </row>
    <row r="791">
      <c r="E791" s="142"/>
    </row>
    <row r="792">
      <c r="E792" s="142"/>
    </row>
    <row r="793">
      <c r="E793" s="142"/>
    </row>
    <row r="794">
      <c r="E794" s="142"/>
    </row>
    <row r="795">
      <c r="E795" s="142"/>
    </row>
    <row r="796">
      <c r="E796" s="142"/>
    </row>
    <row r="797">
      <c r="E797" s="142"/>
    </row>
    <row r="798">
      <c r="E798" s="142"/>
    </row>
    <row r="799">
      <c r="E799" s="142"/>
    </row>
    <row r="800">
      <c r="E800" s="142"/>
    </row>
    <row r="801">
      <c r="E801" s="142"/>
    </row>
    <row r="802">
      <c r="E802" s="142"/>
    </row>
    <row r="803">
      <c r="E803" s="142"/>
    </row>
    <row r="804">
      <c r="E804" s="142"/>
    </row>
    <row r="805">
      <c r="E805" s="142"/>
    </row>
    <row r="806">
      <c r="E806" s="142"/>
    </row>
    <row r="807">
      <c r="E807" s="142"/>
    </row>
    <row r="808">
      <c r="E808" s="142"/>
    </row>
    <row r="809">
      <c r="E809" s="142"/>
    </row>
    <row r="810">
      <c r="E810" s="142"/>
    </row>
    <row r="811">
      <c r="E811" s="142"/>
    </row>
    <row r="812">
      <c r="E812" s="142"/>
    </row>
    <row r="813">
      <c r="E813" s="142"/>
    </row>
    <row r="814">
      <c r="E814" s="142"/>
    </row>
    <row r="815">
      <c r="E815" s="142"/>
    </row>
    <row r="816">
      <c r="E816" s="142"/>
    </row>
    <row r="817">
      <c r="E817" s="142"/>
    </row>
    <row r="818">
      <c r="E818" s="142"/>
    </row>
    <row r="819">
      <c r="E819" s="142"/>
    </row>
    <row r="820">
      <c r="E820" s="142"/>
    </row>
    <row r="821">
      <c r="E821" s="142"/>
    </row>
    <row r="822">
      <c r="E822" s="142"/>
    </row>
    <row r="823">
      <c r="E823" s="142"/>
    </row>
    <row r="824">
      <c r="E824" s="142"/>
    </row>
    <row r="825">
      <c r="E825" s="142"/>
    </row>
    <row r="826">
      <c r="E826" s="142"/>
    </row>
    <row r="827">
      <c r="E827" s="142"/>
    </row>
    <row r="828">
      <c r="E828" s="142"/>
    </row>
    <row r="829">
      <c r="E829" s="142"/>
    </row>
    <row r="830">
      <c r="E830" s="142"/>
    </row>
    <row r="831">
      <c r="E831" s="142"/>
    </row>
    <row r="832">
      <c r="E832" s="142"/>
    </row>
    <row r="833">
      <c r="E833" s="142"/>
    </row>
    <row r="834">
      <c r="E834" s="142"/>
    </row>
    <row r="835">
      <c r="E835" s="142"/>
    </row>
    <row r="836">
      <c r="E836" s="142"/>
    </row>
    <row r="837">
      <c r="E837" s="142"/>
    </row>
    <row r="838">
      <c r="E838" s="142"/>
    </row>
    <row r="839">
      <c r="E839" s="142"/>
    </row>
    <row r="840">
      <c r="E840" s="142"/>
    </row>
    <row r="841">
      <c r="E841" s="142"/>
    </row>
    <row r="842">
      <c r="E842" s="142"/>
    </row>
    <row r="843">
      <c r="E843" s="142"/>
    </row>
    <row r="844">
      <c r="E844" s="142"/>
    </row>
    <row r="845">
      <c r="E845" s="142"/>
    </row>
    <row r="846">
      <c r="E846" s="142"/>
    </row>
    <row r="847">
      <c r="E847" s="142"/>
    </row>
    <row r="848">
      <c r="E848" s="142"/>
    </row>
    <row r="849">
      <c r="E849" s="142"/>
    </row>
    <row r="850">
      <c r="E850" s="142"/>
    </row>
    <row r="851">
      <c r="E851" s="142"/>
    </row>
    <row r="852">
      <c r="E852" s="142"/>
    </row>
    <row r="853">
      <c r="E853" s="142"/>
    </row>
    <row r="854">
      <c r="E854" s="142"/>
    </row>
    <row r="855">
      <c r="E855" s="142"/>
    </row>
    <row r="856">
      <c r="E856" s="142"/>
    </row>
    <row r="857">
      <c r="E857" s="142"/>
    </row>
    <row r="858">
      <c r="E858" s="142"/>
    </row>
    <row r="859">
      <c r="E859" s="142"/>
    </row>
    <row r="860">
      <c r="E860" s="142"/>
    </row>
    <row r="861">
      <c r="E861" s="142"/>
    </row>
    <row r="862">
      <c r="E862" s="142"/>
    </row>
    <row r="863">
      <c r="E863" s="142"/>
    </row>
    <row r="864">
      <c r="E864" s="142"/>
    </row>
    <row r="865">
      <c r="E865" s="142"/>
    </row>
    <row r="866">
      <c r="E866" s="142"/>
    </row>
    <row r="867">
      <c r="E867" s="142"/>
    </row>
    <row r="868">
      <c r="E868" s="142"/>
    </row>
    <row r="869">
      <c r="E869" s="142"/>
    </row>
    <row r="870">
      <c r="E870" s="142"/>
    </row>
    <row r="871">
      <c r="E871" s="142"/>
    </row>
    <row r="872">
      <c r="E872" s="142"/>
    </row>
    <row r="873">
      <c r="E873" s="142"/>
    </row>
    <row r="874">
      <c r="E874" s="142"/>
    </row>
    <row r="875">
      <c r="E875" s="142"/>
    </row>
    <row r="876">
      <c r="E876" s="142"/>
    </row>
    <row r="877">
      <c r="E877" s="142"/>
    </row>
    <row r="878">
      <c r="E878" s="142"/>
    </row>
    <row r="879">
      <c r="E879" s="142"/>
    </row>
    <row r="880">
      <c r="E880" s="142"/>
    </row>
    <row r="881">
      <c r="E881" s="142"/>
    </row>
    <row r="882">
      <c r="E882" s="142"/>
    </row>
    <row r="883">
      <c r="E883" s="142"/>
    </row>
    <row r="884">
      <c r="E884" s="142"/>
    </row>
    <row r="885">
      <c r="E885" s="142"/>
    </row>
    <row r="886">
      <c r="E886" s="142"/>
    </row>
    <row r="887">
      <c r="E887" s="142"/>
    </row>
    <row r="888">
      <c r="E888" s="142"/>
    </row>
    <row r="889">
      <c r="E889" s="142"/>
    </row>
    <row r="890">
      <c r="E890" s="142"/>
    </row>
    <row r="891">
      <c r="E891" s="142"/>
    </row>
    <row r="892">
      <c r="E892" s="142"/>
    </row>
    <row r="893">
      <c r="E893" s="142"/>
    </row>
    <row r="894">
      <c r="E894" s="142"/>
    </row>
    <row r="895">
      <c r="E895" s="142"/>
    </row>
    <row r="896">
      <c r="E896" s="142"/>
    </row>
    <row r="897">
      <c r="E897" s="142"/>
    </row>
    <row r="898">
      <c r="E898" s="142"/>
    </row>
    <row r="899">
      <c r="E899" s="142"/>
    </row>
    <row r="900">
      <c r="E900" s="142"/>
    </row>
    <row r="901">
      <c r="E901" s="142"/>
    </row>
    <row r="902">
      <c r="E902" s="142"/>
    </row>
    <row r="903">
      <c r="E903" s="142"/>
    </row>
    <row r="904">
      <c r="E904" s="142"/>
    </row>
    <row r="905">
      <c r="E905" s="142"/>
    </row>
    <row r="906">
      <c r="E906" s="142"/>
    </row>
    <row r="907">
      <c r="E907" s="142"/>
    </row>
    <row r="908">
      <c r="E908" s="142"/>
    </row>
    <row r="909">
      <c r="E909" s="142"/>
    </row>
    <row r="910">
      <c r="E910" s="142"/>
    </row>
    <row r="911">
      <c r="E911" s="142"/>
    </row>
    <row r="912">
      <c r="E912" s="142"/>
    </row>
    <row r="913">
      <c r="E913" s="142"/>
    </row>
    <row r="914">
      <c r="E914" s="142"/>
    </row>
    <row r="915">
      <c r="E915" s="142"/>
    </row>
    <row r="916">
      <c r="E916" s="142"/>
    </row>
    <row r="917">
      <c r="E917" s="142"/>
    </row>
    <row r="918">
      <c r="E918" s="142"/>
    </row>
    <row r="919">
      <c r="E919" s="142"/>
    </row>
    <row r="920">
      <c r="E920" s="142"/>
    </row>
    <row r="921">
      <c r="E921" s="142"/>
    </row>
    <row r="922">
      <c r="E922" s="142"/>
    </row>
    <row r="923">
      <c r="E923" s="142"/>
    </row>
    <row r="924">
      <c r="E924" s="142"/>
    </row>
    <row r="925">
      <c r="E925" s="142"/>
    </row>
    <row r="926">
      <c r="E926" s="142"/>
    </row>
    <row r="927">
      <c r="E927" s="142"/>
    </row>
    <row r="928">
      <c r="E928" s="142"/>
    </row>
    <row r="929">
      <c r="E929" s="142"/>
    </row>
    <row r="930">
      <c r="E930" s="142"/>
    </row>
    <row r="931">
      <c r="E931" s="142"/>
    </row>
    <row r="932">
      <c r="E932" s="142"/>
    </row>
    <row r="933">
      <c r="E933" s="142"/>
    </row>
    <row r="934">
      <c r="E934" s="142"/>
    </row>
    <row r="935">
      <c r="E935" s="142"/>
    </row>
    <row r="936">
      <c r="E936" s="142"/>
    </row>
    <row r="937">
      <c r="E937" s="142"/>
    </row>
    <row r="938">
      <c r="E938" s="142"/>
    </row>
    <row r="939">
      <c r="E939" s="142"/>
    </row>
    <row r="940">
      <c r="E940" s="142"/>
    </row>
    <row r="941">
      <c r="E941" s="142"/>
    </row>
    <row r="942">
      <c r="E942" s="142"/>
    </row>
    <row r="943">
      <c r="E943" s="142"/>
    </row>
    <row r="944">
      <c r="E944" s="142"/>
    </row>
    <row r="945">
      <c r="E945" s="142"/>
    </row>
    <row r="946">
      <c r="E946" s="142"/>
    </row>
    <row r="947">
      <c r="E947" s="142"/>
    </row>
    <row r="948">
      <c r="E948" s="142"/>
    </row>
    <row r="949">
      <c r="E949" s="142"/>
    </row>
    <row r="950">
      <c r="E950" s="142"/>
    </row>
    <row r="951">
      <c r="E951" s="142"/>
    </row>
    <row r="952">
      <c r="E952" s="142"/>
    </row>
    <row r="953">
      <c r="E953" s="142"/>
    </row>
    <row r="954">
      <c r="E954" s="142"/>
    </row>
    <row r="955">
      <c r="E955" s="142"/>
    </row>
    <row r="956">
      <c r="E956" s="142"/>
    </row>
    <row r="957">
      <c r="E957" s="142"/>
    </row>
    <row r="958">
      <c r="E958" s="142"/>
    </row>
    <row r="959">
      <c r="E959" s="142"/>
    </row>
    <row r="960">
      <c r="E960" s="142"/>
    </row>
    <row r="961">
      <c r="E961" s="142"/>
    </row>
    <row r="962">
      <c r="E962" s="142"/>
    </row>
    <row r="963">
      <c r="E963" s="142"/>
    </row>
    <row r="964">
      <c r="E964" s="142"/>
    </row>
    <row r="965">
      <c r="E965" s="142"/>
    </row>
    <row r="966">
      <c r="E966" s="142"/>
    </row>
    <row r="967">
      <c r="E967" s="142"/>
    </row>
    <row r="968">
      <c r="E968" s="142"/>
    </row>
    <row r="969">
      <c r="E969" s="142"/>
    </row>
    <row r="970">
      <c r="E970" s="142"/>
    </row>
    <row r="971">
      <c r="E971" s="142"/>
    </row>
    <row r="972">
      <c r="E972" s="142"/>
    </row>
    <row r="973">
      <c r="E973" s="142"/>
    </row>
    <row r="974">
      <c r="E974" s="142"/>
    </row>
    <row r="975">
      <c r="E975" s="142"/>
    </row>
    <row r="976">
      <c r="E976" s="142"/>
    </row>
    <row r="977">
      <c r="E977" s="142"/>
    </row>
    <row r="978">
      <c r="E978" s="142"/>
    </row>
    <row r="979">
      <c r="E979" s="142"/>
    </row>
    <row r="980">
      <c r="E980" s="142"/>
    </row>
    <row r="981">
      <c r="E981" s="142"/>
    </row>
    <row r="982">
      <c r="E982" s="142"/>
    </row>
    <row r="983">
      <c r="E983" s="142"/>
    </row>
    <row r="984">
      <c r="E984" s="142"/>
    </row>
    <row r="985">
      <c r="E985" s="142"/>
    </row>
    <row r="986">
      <c r="E986" s="142"/>
    </row>
    <row r="987">
      <c r="E987" s="142"/>
    </row>
    <row r="988">
      <c r="E988" s="142"/>
    </row>
    <row r="989">
      <c r="E989" s="142"/>
    </row>
    <row r="990">
      <c r="E990" s="142"/>
    </row>
    <row r="991">
      <c r="E991" s="142"/>
    </row>
    <row r="992">
      <c r="E992" s="142"/>
    </row>
    <row r="993">
      <c r="E993" s="142"/>
    </row>
    <row r="994">
      <c r="E994" s="142"/>
    </row>
    <row r="995">
      <c r="E995" s="142"/>
    </row>
    <row r="996">
      <c r="E996" s="142"/>
    </row>
    <row r="997">
      <c r="E997" s="142"/>
    </row>
    <row r="998">
      <c r="E998" s="142"/>
    </row>
    <row r="999">
      <c r="E999" s="142"/>
    </row>
    <row r="1000">
      <c r="E1000" s="142"/>
    </row>
    <row r="1001">
      <c r="E1001" s="142"/>
    </row>
    <row r="1002">
      <c r="E1002" s="142"/>
    </row>
    <row r="1003">
      <c r="E1003" s="142"/>
    </row>
    <row r="1004">
      <c r="E1004" s="142"/>
    </row>
    <row r="1005">
      <c r="E1005" s="142"/>
    </row>
  </sheetData>
  <mergeCells count="45">
    <mergeCell ref="AD2:AO2"/>
    <mergeCell ref="AP2:BA2"/>
    <mergeCell ref="BR2:BR4"/>
    <mergeCell ref="BS2:BT3"/>
    <mergeCell ref="BU2:BU4"/>
    <mergeCell ref="BV2:BX3"/>
    <mergeCell ref="BY2:BY4"/>
    <mergeCell ref="BZ2:CB3"/>
    <mergeCell ref="CC2:CC4"/>
    <mergeCell ref="CD2:CD4"/>
    <mergeCell ref="A1:E1"/>
    <mergeCell ref="F1:BC1"/>
    <mergeCell ref="BD1:BD4"/>
    <mergeCell ref="BE1:BE4"/>
    <mergeCell ref="BF1:BF4"/>
    <mergeCell ref="BG1:BR1"/>
    <mergeCell ref="BS1:CD1"/>
    <mergeCell ref="DA2:DA4"/>
    <mergeCell ref="DB2:DB4"/>
    <mergeCell ref="CO2:CO4"/>
    <mergeCell ref="CP2:CP4"/>
    <mergeCell ref="CQ2:CR3"/>
    <mergeCell ref="CS2:CS4"/>
    <mergeCell ref="CT2:CV3"/>
    <mergeCell ref="CW2:CW4"/>
    <mergeCell ref="CX2:CZ3"/>
    <mergeCell ref="CE1:CP1"/>
    <mergeCell ref="CQ1:DB1"/>
    <mergeCell ref="A2:A4"/>
    <mergeCell ref="B2:B4"/>
    <mergeCell ref="C2:C4"/>
    <mergeCell ref="D2:E3"/>
    <mergeCell ref="F2:Q2"/>
    <mergeCell ref="R2:AC2"/>
    <mergeCell ref="BG2:BH3"/>
    <mergeCell ref="BI2:BI4"/>
    <mergeCell ref="BJ2:BL3"/>
    <mergeCell ref="BM2:BM4"/>
    <mergeCell ref="BN2:BP3"/>
    <mergeCell ref="BQ2:BQ4"/>
    <mergeCell ref="CE2:CF3"/>
    <mergeCell ref="CG2:CG4"/>
    <mergeCell ref="CH2:CJ3"/>
    <mergeCell ref="CK2:CK4"/>
    <mergeCell ref="CL2:CN3"/>
  </mergeCells>
  <conditionalFormatting sqref="E5:E1005">
    <cfRule type="containsBlanks" dxfId="0" priority="1">
      <formula>LEN(TRIM(E5))=0</formula>
    </cfRule>
  </conditionalFormatting>
  <conditionalFormatting sqref="E5:E1005">
    <cfRule type="expression" dxfId="1" priority="2">
      <formula>E5 &lt;= TODAY()</formula>
    </cfRule>
  </conditionalFormatting>
  <conditionalFormatting sqref="E5:E1005">
    <cfRule type="expression" dxfId="2" priority="3">
      <formula>E5 &lt;= EOMONTH(TODAY(),1)</formula>
    </cfRule>
  </conditionalFormatting>
  <conditionalFormatting sqref="BI5:BI1005 BM5:BM1005 BQ5:BR1005 BU5:BU1005 BY5:BY1005 CC5:CD1005 CG5:CG1005 CK5:CK1005 CO5:CP1005 CS5:CS1005 CW5:CW1005 DA5:DB1005">
    <cfRule type="cellIs" dxfId="1" priority="4" operator="lessThanOrEqual">
      <formula>5.9</formula>
    </cfRule>
  </conditionalFormatting>
  <conditionalFormatting sqref="BI5:BI1005 BM5:BM1005 BQ5:BR1005 BU5:BU1005 BY5:BY1005 CC5:CD1005 CG5:CG1005 CK5:CK1005 CO5:CP1005 CS5:CS1005 CW5:CW1005 DA5:DB1005">
    <cfRule type="cellIs" dxfId="3" priority="5" operator="between">
      <formula>6</formula>
      <formula>6.9</formula>
    </cfRule>
  </conditionalFormatting>
  <conditionalFormatting sqref="BI5:BI1005 BM5:BM1005 BQ5:BR1005 BU5:BU1005 BY5:BY1005 CC5:CD1005 CG5:CG1005 CK5:CK1005 CO5:CP1005 CS5:CS1005 CW5:CW1005 DA5:DB1005">
    <cfRule type="cellIs" dxfId="4" priority="6" operator="greaterThanOrEqual">
      <formula>7</formula>
    </cfRule>
  </conditionalFormatting>
  <conditionalFormatting sqref="BJ5:BL1005 BN5:BP1005 BV5:BX1005 BZ5:CB1005 CH5:CJ1005 CL5:CN1005 CT5:CV1005 CX5:CZ1005">
    <cfRule type="cellIs" dxfId="2" priority="7" operator="lessThanOrEqual">
      <formula>5.9</formula>
    </cfRule>
  </conditionalFormatting>
  <conditionalFormatting sqref="BJ5:BL1005 BN5:BP1005 BV5:BX1005 BZ5:CB1005 CH5:CJ1005 CL5:CN1005 CT5:CV1005 CX5:CZ1005">
    <cfRule type="cellIs" dxfId="5" priority="8" operator="between">
      <formula>6</formula>
      <formula>6.9</formula>
    </cfRule>
  </conditionalFormatting>
  <conditionalFormatting sqref="BJ5:BL1005 BN5:BP1005 BV5:BX1005 BZ5:CB1005 CH5:CJ1005 CL5:CN1005 CT5:CV1005 CX5:CZ1005">
    <cfRule type="cellIs" dxfId="6" priority="9" operator="greaterThanOrEqual">
      <formula>7</formula>
    </cfRule>
  </conditionalFormatting>
  <conditionalFormatting sqref="BF5:BF1005">
    <cfRule type="cellIs" dxfId="1" priority="10" operator="lessThanOrEqual">
      <formula>"69.99%"</formula>
    </cfRule>
  </conditionalFormatting>
  <conditionalFormatting sqref="BF5:BF1005">
    <cfRule type="cellIs" dxfId="3" priority="11" operator="between">
      <formula>"70%"</formula>
      <formula>"79.99%"</formula>
    </cfRule>
  </conditionalFormatting>
  <conditionalFormatting sqref="BF5:BF1005">
    <cfRule type="cellIs" dxfId="7" priority="12" operator="greaterThanOrEqual">
      <formula>"80%"</formula>
    </cfRule>
  </conditionalFormatting>
  <conditionalFormatting sqref="F4:BC4">
    <cfRule type="cellIs" dxfId="1" priority="13" operator="lessThanOrEqual">
      <formula>"69%"</formula>
    </cfRule>
  </conditionalFormatting>
  <conditionalFormatting sqref="F4:BC4">
    <cfRule type="cellIs" dxfId="3" priority="14" operator="between">
      <formula>"70%"</formula>
      <formula>"79%"</formula>
    </cfRule>
  </conditionalFormatting>
  <conditionalFormatting sqref="F4:BC4">
    <cfRule type="cellIs" dxfId="7" priority="15" operator="greaterThanOrEqual">
      <formula>"80%"</formula>
    </cfRule>
  </conditionalFormatting>
  <dataValidations>
    <dataValidation type="list" allowBlank="1" showErrorMessage="1" sqref="F5:BC28">
      <formula1>"-,1,0"</formula1>
    </dataValidation>
  </dataValidations>
  <drawing r:id="rId1"/>
</worksheet>
</file>